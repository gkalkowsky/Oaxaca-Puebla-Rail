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puts" sheetId="2" state="visible" r:id="rId2"/>
    <sheet name="Capital" sheetId="3" state="visible" r:id="rId3"/>
    <sheet name="Breakeven" sheetId="4" state="visible" r:id="rId4"/>
    <sheet name="Commodity" sheetId="5" state="visible" r:id="rId5"/>
    <sheet name="Supportable" sheetId="6" state="visible" r:id="rId6"/>
    <sheet name="Compa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  <sz val="9"/>
    </font>
    <font>
      <b val="1"/>
      <color rgb="00FFFFFF"/>
    </font>
    <font>
      <b val="1"/>
      <color rgb="009C0006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2" fillId="3" borderId="0" pivotButton="0" quotePrefix="0" xfId="0"/>
    <xf numFmtId="0" fontId="0" fillId="3" borderId="0" pivotButton="0" quotePrefix="0" xfId="0"/>
    <xf numFmtId="164" fontId="0" fillId="4" borderId="1" pivotButton="0" quotePrefix="0" xfId="0"/>
    <xf numFmtId="4" fontId="0" fillId="4" borderId="1" pivotButton="0" quotePrefix="0" xfId="0"/>
    <xf numFmtId="0" fontId="0" fillId="5" borderId="1" pivotButton="0" quotePrefix="0" xfId="0"/>
    <xf numFmtId="3" fontId="0" fillId="4" borderId="1" pivotButton="0" quotePrefix="0" xfId="0"/>
    <xf numFmtId="165" fontId="0" fillId="4" borderId="1" pivotButton="0" quotePrefix="0" xfId="0"/>
    <xf numFmtId="166" fontId="0" fillId="4" borderId="1" pivotButton="0" quotePrefix="0" xfId="0"/>
    <xf numFmtId="0" fontId="0" fillId="4" borderId="1" pivotButton="0" quotePrefix="0" xfId="0"/>
    <xf numFmtId="164" fontId="0" fillId="5" borderId="1" pivotButton="0" quotePrefix="0" xfId="0"/>
    <xf numFmtId="165" fontId="0" fillId="5" borderId="1" pivotButton="0" quotePrefix="0" xfId="0"/>
    <xf numFmtId="166" fontId="0" fillId="6" borderId="1" pivotButton="0" quotePrefix="0" xfId="0"/>
    <xf numFmtId="164" fontId="0" fillId="6" borderId="1" pivotButton="0" quotePrefix="0" xfId="0"/>
    <xf numFmtId="0" fontId="5" fillId="0" borderId="0" pivotButton="0" quotePrefix="0" xfId="0"/>
    <xf numFmtId="165" fontId="0" fillId="6" borderId="1" pivotButton="0" quotePrefix="0" xfId="0"/>
    <xf numFmtId="3" fontId="0" fillId="6" borderId="1" pivotButton="0" quotePrefix="0" xfId="0"/>
    <xf numFmtId="3" fontId="2" fillId="6" borderId="1" pivotButton="0" quotePrefix="0" xfId="0"/>
    <xf numFmtId="4" fontId="0" fillId="6" borderId="1" pivotButton="0" quotePrefix="0" xfId="0"/>
    <xf numFmtId="165" fontId="0" fillId="0" borderId="0" pivotButton="0" quotePrefix="0" xfId="0"/>
    <xf numFmtId="4" fontId="0" fillId="5" borderId="1" pivotButton="0" quotePrefix="0" xfId="0"/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Vía Corta Oaxaca — Freight Reactivation Breakeven Model</t>
        </is>
      </c>
    </row>
    <row r="2">
      <c r="A2" t="inlineStr"/>
    </row>
    <row r="3">
      <c r="A3" t="inlineStr">
        <is>
          <t>Puebla (Sánchez) → Oaxaca City, línea E, ~216.5 route-km. Screening level.</t>
        </is>
      </c>
    </row>
    <row r="4">
      <c r="A4" t="inlineStr"/>
    </row>
    <row r="5">
      <c r="A5" s="2" t="inlineStr">
        <is>
          <t>WHAT THIS MODEL DOES</t>
        </is>
      </c>
    </row>
    <row r="6">
      <c r="A6" t="inlineStr">
        <is>
          <t>Back-solves the annual tonnage required to break even, then expresses it as loaded</t>
        </is>
      </c>
    </row>
    <row r="7">
      <c r="A7" t="inlineStr">
        <is>
          <t>truckloads/day each way so it is directly comparable to observed road traffic.</t>
        </is>
      </c>
    </row>
    <row r="8">
      <c r="A8" t="inlineStr">
        <is>
          <t>It does NOT forecast demand.</t>
        </is>
      </c>
    </row>
    <row r="9">
      <c r="A9" t="inlineStr"/>
    </row>
    <row r="10">
      <c r="A10" s="2" t="inlineStr">
        <is>
          <t>CELL COLOURS</t>
        </is>
      </c>
    </row>
    <row r="11">
      <c r="A11" t="inlineStr">
        <is>
          <t xml:space="preserve">  Yellow  = input, enter with a source</t>
        </is>
      </c>
    </row>
    <row r="12">
      <c r="A12" t="inlineStr">
        <is>
          <t xml:space="preserve">  Orange  = ASSUMPTION with no primary source behind it — the honest label, not a value</t>
        </is>
      </c>
    </row>
    <row r="13">
      <c r="A13" t="inlineStr">
        <is>
          <t xml:space="preserve">  Green   = calculated, do not overtype</t>
        </is>
      </c>
    </row>
    <row r="14">
      <c r="A14" t="inlineStr"/>
    </row>
    <row r="15">
      <c r="A15" s="2" t="inlineStr">
        <is>
          <t>THE TWO NUMBERS THAT CARRY THE ANSWER</t>
        </is>
      </c>
    </row>
    <row r="16">
      <c r="A16" t="inlineStr">
        <is>
          <t>1. Contribution margin per ton-km. Not public at commodity level; ARTF's Anuario was</t>
        </is>
      </c>
    </row>
    <row r="17">
      <c r="A17" t="inlineStr">
        <is>
          <t xml:space="preserve">   unreachable. It is therefore SWEPT across a range on 'Breakeven', not assumed.</t>
        </is>
      </c>
    </row>
    <row r="18">
      <c r="A18" t="inlineStr">
        <is>
          <t>2. Track condition. Unknown since 2003 and unresolvable from a desk, so capital is</t>
        </is>
      </c>
    </row>
    <row r="19">
      <c r="A19" t="inlineStr">
        <is>
          <t xml:space="preserve">   presented as light / heavy / substantial reconstruction. If those straddle the</t>
        </is>
      </c>
    </row>
    <row r="20">
      <c r="A20" t="inlineStr">
        <is>
          <t xml:space="preserve">   breakeven threshold, STOP RULE 3 fires and the answer is INDETERMINATE.</t>
        </is>
      </c>
    </row>
    <row r="21">
      <c r="A21" t="inlineStr"/>
    </row>
    <row r="22">
      <c r="A22" s="2" t="inlineStr">
        <is>
          <t>O&amp;M CIRCULARITY</t>
        </is>
      </c>
    </row>
    <row r="23">
      <c r="A23" t="inlineStr">
        <is>
          <t>Track maintenance scales with gross passing tonnage, so O&amp;M depends on the tonnage</t>
        </is>
      </c>
    </row>
    <row r="24">
      <c r="A24" t="inlineStr">
        <is>
          <t>being solved for. Both revenue and variable O&amp;M are linear in tonnage, so the</t>
        </is>
      </c>
    </row>
    <row r="25">
      <c r="A25" t="inlineStr">
        <is>
          <t>circularity closes algebraically (see 'Breakeven' col A note) rather than by iteration.</t>
        </is>
      </c>
    </row>
    <row r="26">
      <c r="A26" t="inlineStr">
        <is>
          <t>If net contribution after track wear goes &lt;= 0, NO tonnage breaks even and the sheet</t>
        </is>
      </c>
    </row>
    <row r="27">
      <c r="A27" t="inlineStr">
        <is>
          <t>reports that instead of a large finite number.</t>
        </is>
      </c>
    </row>
    <row r="28">
      <c r="A28" t="inlineStr"/>
    </row>
    <row r="29">
      <c r="A29" s="2" t="inlineStr">
        <is>
          <t>CURRENCY</t>
        </is>
      </c>
    </row>
    <row r="30">
      <c r="A30" t="inlineStr">
        <is>
          <t>One base year, stated on 'Inputs'. MXN throughout. Any USD conversion states its rate</t>
        </is>
      </c>
    </row>
    <row r="31">
      <c r="A31" t="inlineStr">
        <is>
          <t>and date. Mixing nominal figures across years is risk R-10.</t>
        </is>
      </c>
    </row>
    <row r="32">
      <c r="A32" t="inlineStr"/>
    </row>
    <row r="33">
      <c r="A33" t="inlineStr">
        <is>
          <t>Regenerate: python3 analysis/scripts/build_breakeven_model.py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22" customWidth="1" min="3" max="3"/>
    <col width="26" customWidth="1" min="4" max="4"/>
    <col width="78" customWidth="1" min="5" max="5"/>
  </cols>
  <sheetData>
    <row r="1">
      <c r="A1" s="1" t="inlineStr">
        <is>
          <t>Inputs — single editable block</t>
        </is>
      </c>
    </row>
    <row r="2">
      <c r="A2" s="3" t="inlineStr">
        <is>
          <t>Every downstream sheet reads from here. Orange = assumption with no primary source.</t>
        </is>
      </c>
    </row>
    <row r="3">
      <c r="A3" s="4" t="inlineStr">
        <is>
          <t>Parameter</t>
        </is>
      </c>
      <c r="B3" s="4" t="inlineStr">
        <is>
          <t>Value</t>
        </is>
      </c>
      <c r="C3" s="4" t="inlineStr">
        <is>
          <t>Unit</t>
        </is>
      </c>
      <c r="D3" s="4" t="inlineStr">
        <is>
          <t>Source</t>
        </is>
      </c>
      <c r="E3" s="4" t="inlineStr">
        <is>
          <t>Notes</t>
        </is>
      </c>
    </row>
    <row r="4">
      <c r="A4" s="5" t="inlineStr">
        <is>
          <t>CORRIDOR</t>
        </is>
      </c>
      <c r="B4" s="6" t="n"/>
      <c r="C4" s="6" t="n"/>
      <c r="D4" s="6" t="n"/>
      <c r="E4" s="6" t="n"/>
      <c r="F4" s="6" t="n"/>
    </row>
    <row r="5">
      <c r="A5" t="inlineStr">
        <is>
          <t>Route length</t>
        </is>
      </c>
      <c r="B5" s="7" t="n">
        <v>216.5</v>
      </c>
      <c r="C5" t="inlineStr">
        <is>
          <t>km</t>
        </is>
      </c>
      <c r="D5" t="inlineStr">
        <is>
          <t>Prompt.md (to verify)</t>
        </is>
      </c>
      <c r="E5" s="3" t="inlineStr">
        <is>
          <t>km E-150+000 to E-367+000. Independent verification outstanding</t>
        </is>
      </c>
    </row>
    <row r="6">
      <c r="A6" s="5" t="inlineStr">
        <is>
          <t>CAPITAL — cost per route-km by track-condition scenario</t>
        </is>
      </c>
      <c r="B6" s="6" t="n"/>
      <c r="C6" s="6" t="n"/>
      <c r="D6" s="6" t="n"/>
      <c r="E6" s="6" t="n"/>
      <c r="F6" s="6" t="n"/>
    </row>
    <row r="7">
      <c r="A7" t="inlineStr">
        <is>
          <t>Light rehabilitation</t>
        </is>
      </c>
      <c r="B7" s="8" t="n"/>
      <c r="C7" t="inlineStr">
        <is>
          <t>MXN million / km</t>
        </is>
      </c>
      <c r="D7" t="inlineStr"/>
      <c r="E7" s="3" t="inlineStr">
        <is>
          <t>UNESCAP guidance cited in brief: &lt; USD 500,000/route-km. Convert at B26 and cite</t>
        </is>
      </c>
    </row>
    <row r="8">
      <c r="A8" t="inlineStr">
        <is>
          <t>Heavy rehabilitation</t>
        </is>
      </c>
      <c r="B8" s="8" t="n"/>
      <c r="C8" t="inlineStr">
        <is>
          <t>MXN million / km</t>
        </is>
      </c>
      <c r="D8" t="inlineStr"/>
      <c r="E8" s="3" t="inlineStr"/>
    </row>
    <row r="9">
      <c r="A9" t="inlineStr">
        <is>
          <t>Substantial reconstruction</t>
        </is>
      </c>
      <c r="B9" s="8" t="n"/>
      <c r="C9" t="inlineStr">
        <is>
          <t>MXN million / km</t>
        </is>
      </c>
      <c r="D9" t="inlineStr"/>
      <c r="E9" s="3" t="inlineStr"/>
    </row>
    <row r="10">
      <c r="A10" t="inlineStr">
        <is>
          <t xml:space="preserve">  Mexican precedent (context, NOT a base case)</t>
        </is>
      </c>
      <c r="B10" s="9" t="n"/>
      <c r="D10" t="inlineStr">
        <is>
          <t>[PRESS — UNVERIFIED]</t>
        </is>
      </c>
      <c r="E10" s="3" t="inlineStr">
        <is>
          <t>Press reports ~18,000 MXN million on Línea Z rehabilitation (~300 km) =&gt; order ~60 MXN million/km, roughly an order of magnitude above the UNESCAP figure. ASF primary unreachable (JS app), DOF egress-blocked. Must NOT carry a conclusion.</t>
        </is>
      </c>
    </row>
    <row r="11">
      <c r="A11" s="5" t="inlineStr">
        <is>
          <t>CAPITAL — structures carried separately, per the brief</t>
        </is>
      </c>
      <c r="B11" s="6" t="n"/>
      <c r="C11" s="6" t="n"/>
      <c r="D11" s="6" t="n"/>
      <c r="E11" s="6" t="n"/>
      <c r="F11" s="6" t="n"/>
    </row>
    <row r="12">
      <c r="A12" t="inlineStr">
        <is>
          <t>Bridges / drainage / slope stabilisation — low</t>
        </is>
      </c>
      <c r="B12" s="7" t="n"/>
      <c r="C12" t="inlineStr">
        <is>
          <t>MXN million</t>
        </is>
      </c>
      <c r="D12" t="inlineStr"/>
      <c r="E12" s="3" t="inlineStr">
        <is>
          <t>Dominant uncertainty. Carried as its own line with its own range, NOT buried in a percentage contingency. No public structure inventory is expected to exist</t>
        </is>
      </c>
    </row>
    <row r="13">
      <c r="A13" t="inlineStr">
        <is>
          <t>Bridges / drainage / slope stabilisation — high</t>
        </is>
      </c>
      <c r="B13" s="7" t="n"/>
      <c r="C13" t="inlineStr">
        <is>
          <t>MXN million</t>
        </is>
      </c>
      <c r="D13" t="inlineStr"/>
      <c r="E13" s="3" t="inlineStr"/>
    </row>
    <row r="14">
      <c r="A14" s="5" t="inlineStr">
        <is>
          <t>FINANCE</t>
        </is>
      </c>
      <c r="B14" s="6" t="n"/>
      <c r="C14" s="6" t="n"/>
      <c r="D14" s="6" t="n"/>
      <c r="E14" s="6" t="n"/>
      <c r="F14" s="6" t="n"/>
    </row>
    <row r="15">
      <c r="A15" t="inlineStr">
        <is>
          <t>Asset life</t>
        </is>
      </c>
      <c r="B15" s="10" t="n">
        <v>30</v>
      </c>
      <c r="C15" t="inlineStr">
        <is>
          <t>years</t>
        </is>
      </c>
      <c r="D15" t="inlineStr">
        <is>
          <t>Prompt.md</t>
        </is>
      </c>
      <c r="E15" s="3" t="inlineStr"/>
    </row>
    <row r="16">
      <c r="A16" t="inlineStr">
        <is>
          <t>Cost of capital — case 1</t>
        </is>
      </c>
      <c r="B16" s="11" t="n">
        <v>0.05</v>
      </c>
      <c r="C16" t="inlineStr">
        <is>
          <t>% / yr</t>
        </is>
      </c>
      <c r="D16" t="inlineStr">
        <is>
          <t>Prompt.md</t>
        </is>
      </c>
      <c r="E16" s="3" t="inlineStr"/>
    </row>
    <row r="17">
      <c r="A17" t="inlineStr">
        <is>
          <t>Cost of capital — case 2</t>
        </is>
      </c>
      <c r="B17" s="11" t="n">
        <v>0.06</v>
      </c>
      <c r="C17" t="inlineStr">
        <is>
          <t>% / yr</t>
        </is>
      </c>
      <c r="D17" t="inlineStr">
        <is>
          <t>Prompt.md</t>
        </is>
      </c>
      <c r="E17" s="3" t="inlineStr"/>
    </row>
    <row r="18">
      <c r="A18" t="inlineStr">
        <is>
          <t>Cost of capital — case 3</t>
        </is>
      </c>
      <c r="B18" s="11" t="n">
        <v>0.08</v>
      </c>
      <c r="C18" t="inlineStr">
        <is>
          <t>% / yr</t>
        </is>
      </c>
      <c r="D18" t="inlineStr">
        <is>
          <t>Prompt.md</t>
        </is>
      </c>
      <c r="E18" s="3" t="inlineStr"/>
    </row>
    <row r="19">
      <c r="A19" s="5" t="inlineStr">
        <is>
          <t>OPERATING</t>
        </is>
      </c>
      <c r="B19" s="6" t="n"/>
      <c r="C19" s="6" t="n"/>
      <c r="D19" s="6" t="n"/>
      <c r="E19" s="6" t="n"/>
      <c r="F19" s="6" t="n"/>
    </row>
    <row r="20">
      <c r="A20" t="inlineStr">
        <is>
          <t>Fixed O&amp;M (tonnage-independent)</t>
        </is>
      </c>
      <c r="B20" s="7" t="n"/>
      <c r="C20" t="inlineStr">
        <is>
          <t>MXN million / yr</t>
        </is>
      </c>
      <c r="D20" t="inlineStr"/>
      <c r="E20" s="3" t="inlineStr">
        <is>
          <t>Signalling, admin, inspection, right-of-way security</t>
        </is>
      </c>
    </row>
    <row r="21">
      <c r="A21" t="inlineStr">
        <is>
          <t>Variable O&amp;M per gross ton-km</t>
        </is>
      </c>
      <c r="B21" s="12" t="n"/>
      <c r="C21" t="inlineStr">
        <is>
          <t>MXN / gross ton-km</t>
        </is>
      </c>
      <c r="D21" t="inlineStr"/>
      <c r="E21" s="3" t="inlineStr">
        <is>
          <t>Track wear. This is what makes O&amp;M depend on the tonnage being solved for</t>
        </is>
      </c>
    </row>
    <row r="22">
      <c r="A22" t="inlineStr">
        <is>
          <t>Tare factor (gross / net tonnage)</t>
        </is>
      </c>
      <c r="B22" s="8" t="n"/>
      <c r="C22" t="inlineStr">
        <is>
          <t>ratio</t>
        </is>
      </c>
      <c r="D22" t="inlineStr"/>
      <c r="E22" s="3" t="inlineStr">
        <is>
          <t>Wagon tare + locomotive. Gross ton-km = net tons x (1 + tare) x km</t>
        </is>
      </c>
    </row>
    <row r="23">
      <c r="A23" s="5" t="inlineStr">
        <is>
          <t>REVENUE</t>
        </is>
      </c>
      <c r="B23" s="6" t="n"/>
      <c r="C23" s="6" t="n"/>
      <c r="D23" s="6" t="n"/>
      <c r="E23" s="6" t="n"/>
      <c r="F23" s="6" t="n"/>
    </row>
    <row r="24">
      <c r="A24" t="inlineStr">
        <is>
          <t>Contribution margin per net ton-km</t>
        </is>
      </c>
      <c r="B24" s="12" t="n">
        <v>0.402</v>
      </c>
      <c r="C24" t="inlineStr">
        <is>
          <t>MXN / net ton-km</t>
        </is>
      </c>
      <c r="D24" t="inlineStr">
        <is>
          <t>artf-2024-anuario-ferroviario</t>
        </is>
      </c>
      <c r="E24" s="3" t="inlineStr">
        <is>
          <t>Ferrosur EBIT/ton-km, constant 2024 MXN: $0.93 revenue (Tabla 7-8) x 43.19% operating margin (Tablas 7-3, 7.7). ARTF's cost base ALREADY includes maintenance and D&amp;A, so B21 and B20 must be 0 when using this basis or maintenance is double-counted. Swept 0.402-0.93 on 'Supportable'. See working/margin-derivation.md</t>
        </is>
      </c>
    </row>
    <row r="25">
      <c r="A25" s="5" t="inlineStr">
        <is>
          <t>CONVENTIONS AND CONVERSION</t>
        </is>
      </c>
      <c r="B25" s="6" t="n"/>
      <c r="C25" s="6" t="n"/>
      <c r="D25" s="6" t="n"/>
      <c r="E25" s="6" t="n"/>
      <c r="F25" s="6" t="n"/>
    </row>
    <row r="26">
      <c r="A26" t="inlineStr">
        <is>
          <t>MXN / USD rate</t>
        </is>
      </c>
      <c r="B26" s="8" t="n"/>
      <c r="C26" t="inlineStr">
        <is>
          <t>MXN per USD</t>
        </is>
      </c>
      <c r="D26" t="inlineStr"/>
      <c r="E26" s="3" t="inlineStr">
        <is>
          <t>State the rate AND its date. Required before any USD benchmark is used</t>
        </is>
      </c>
    </row>
    <row r="27">
      <c r="A27" t="inlineStr">
        <is>
          <t>FX rate date</t>
        </is>
      </c>
      <c r="B27" s="13" t="n"/>
      <c r="C27" t="inlineStr">
        <is>
          <t>date</t>
        </is>
      </c>
      <c r="D27" t="inlineStr"/>
      <c r="E27" s="3" t="inlineStr"/>
    </row>
    <row r="28">
      <c r="A28" t="inlineStr">
        <is>
          <t>Deflation base year (INEGI INPC)</t>
        </is>
      </c>
      <c r="B28" s="10" t="n"/>
      <c r="C28" t="inlineStr">
        <is>
          <t>yyyy</t>
        </is>
      </c>
      <c r="D28" t="inlineStr"/>
      <c r="E28" s="3" t="inlineStr">
        <is>
          <t>All money figures real in this year. Never mix nominal across years</t>
        </is>
      </c>
    </row>
    <row r="29">
      <c r="A29" s="5" t="inlineStr">
        <is>
          <t>ROAD COMPARISON</t>
        </is>
      </c>
      <c r="B29" s="6" t="n"/>
      <c r="C29" s="6" t="n"/>
      <c r="D29" s="6" t="n"/>
      <c r="E29" s="6" t="n"/>
      <c r="F29" s="6" t="n"/>
    </row>
    <row r="30">
      <c r="A30" t="inlineStr">
        <is>
          <t>Payload per loaded articulated truck</t>
        </is>
      </c>
      <c r="B30" s="14" t="n">
        <v>27.5</v>
      </c>
      <c r="C30" t="inlineStr">
        <is>
          <t>tonnes</t>
        </is>
      </c>
      <c r="D30" t="inlineStr">
        <is>
          <t>[ASSUMPTION] 25–30 t</t>
        </is>
      </c>
      <c r="E30" s="3" t="inlineStr">
        <is>
          <t>Bridge from vehicle counts to tonnage. This is an ASSUMPTION — show sensitivity</t>
        </is>
      </c>
    </row>
    <row r="31">
      <c r="A31" t="inlineStr">
        <is>
          <t>Empty-running share</t>
        </is>
      </c>
      <c r="B31" s="15" t="n">
        <v>0.4</v>
      </c>
      <c r="C31" t="inlineStr">
        <is>
          <t>fraction</t>
        </is>
      </c>
      <c r="D31" t="inlineStr">
        <is>
          <t>Prompt.md: ~30–50%</t>
        </is>
      </c>
      <c r="E31" s="3" t="inlineStr">
        <is>
          <t>Raw truck counts are NOT loaded tonnage</t>
        </is>
      </c>
    </row>
    <row r="32">
      <c r="A32" t="inlineStr">
        <is>
          <t>Observed articulated veh/day at corridor terminus</t>
        </is>
      </c>
      <c r="B32" s="10" t="n">
        <v>500</v>
      </c>
      <c r="C32" t="inlineStr">
        <is>
          <t>veh/day, both dirs</t>
        </is>
      </c>
      <c r="D32" t="inlineStr">
        <is>
          <t>sct-2025-datosviales-oaxaca</t>
        </is>
      </c>
      <c r="E32" s="3" t="inlineStr">
        <is>
          <t>SR-2 bound: endpoint flow N of Oaxaca City. See working/sr2-evaluation.md</t>
        </is>
      </c>
    </row>
    <row r="33">
      <c r="A33" t="inlineStr">
        <is>
          <t>Variable O&amp;M — set 0 on the EBIT margin basis</t>
        </is>
      </c>
      <c r="B33" s="16" t="n">
        <v>0</v>
      </c>
      <c r="C33" t="inlineStr">
        <is>
          <t>MXN / gross ton-km</t>
        </is>
      </c>
      <c r="D33" t="inlineStr">
        <is>
          <t>see note</t>
        </is>
      </c>
      <c r="E33" s="3" t="inlineStr">
        <is>
          <t>Guard against double-counting; overrides B21 conceptually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20" customWidth="1" min="4" max="4"/>
    <col width="20" customWidth="1" min="5" max="5"/>
    <col width="18" customWidth="1" min="6" max="6"/>
    <col width="18" customWidth="1" min="7" max="7"/>
  </cols>
  <sheetData>
    <row r="1">
      <c r="A1" s="1" t="inlineStr">
        <is>
          <t>Capital cost band</t>
        </is>
      </c>
    </row>
    <row r="2">
      <c r="A2" s="3" t="inlineStr">
        <is>
          <t>Track condition is unknown since 2003 and cannot be resolved from a desk, so capital is bounded by scenario rather than assumed to a base case.</t>
        </is>
      </c>
    </row>
    <row r="4">
      <c r="A4" s="4" t="inlineStr">
        <is>
          <t>Scenario</t>
        </is>
      </c>
      <c r="B4" s="4" t="inlineStr">
        <is>
          <t>Cost per km (MXN m)</t>
        </is>
      </c>
      <c r="C4" s="4" t="inlineStr">
        <is>
          <t>Linework (MXN m)</t>
        </is>
      </c>
      <c r="D4" s="4" t="inlineStr">
        <is>
          <t>Structures low (MXN m)</t>
        </is>
      </c>
      <c r="E4" s="4" t="inlineStr">
        <is>
          <t>Structures high (MXN m)</t>
        </is>
      </c>
      <c r="F4" s="4" t="inlineStr">
        <is>
          <t>TOTAL low (MXN m)</t>
        </is>
      </c>
      <c r="G4" s="4" t="inlineStr">
        <is>
          <t>TOTAL high (MXN m)</t>
        </is>
      </c>
    </row>
    <row r="5">
      <c r="A5" t="inlineStr">
        <is>
          <t>Light rehabilitation</t>
        </is>
      </c>
      <c r="B5" s="8">
        <f>Inputs!B7</f>
        <v/>
      </c>
      <c r="C5" s="17">
        <f>IF(OR(B5="",Inputs!$B$5=""),"",B5*Inputs!$B$5)</f>
        <v/>
      </c>
      <c r="D5" s="17">
        <f>Inputs!$B$12</f>
        <v/>
      </c>
      <c r="E5" s="17">
        <f>Inputs!$B$13</f>
        <v/>
      </c>
      <c r="F5" s="17">
        <f>IF(OR(C5="",D5=""),"",C5+D5)</f>
        <v/>
      </c>
      <c r="G5" s="17">
        <f>IF(OR(C5="",E5=""),"",C5+E5)</f>
        <v/>
      </c>
    </row>
    <row r="6">
      <c r="A6" t="inlineStr">
        <is>
          <t>Heavy rehabilitation</t>
        </is>
      </c>
      <c r="B6" s="8">
        <f>Inputs!B8</f>
        <v/>
      </c>
      <c r="C6" s="17">
        <f>IF(OR(B6="",Inputs!$B$5=""),"",B6*Inputs!$B$5)</f>
        <v/>
      </c>
      <c r="D6" s="17">
        <f>Inputs!$B$12</f>
        <v/>
      </c>
      <c r="E6" s="17">
        <f>Inputs!$B$13</f>
        <v/>
      </c>
      <c r="F6" s="17">
        <f>IF(OR(C6="",D6=""),"",C6+D6)</f>
        <v/>
      </c>
      <c r="G6" s="17">
        <f>IF(OR(C6="",E6=""),"",C6+E6)</f>
        <v/>
      </c>
    </row>
    <row r="7">
      <c r="A7" t="inlineStr">
        <is>
          <t>Substantial reconstruction</t>
        </is>
      </c>
      <c r="B7" s="8">
        <f>Inputs!B9</f>
        <v/>
      </c>
      <c r="C7" s="17">
        <f>IF(OR(B7="",Inputs!$B$5=""),"",B7*Inputs!$B$5)</f>
        <v/>
      </c>
      <c r="D7" s="17">
        <f>Inputs!$B$12</f>
        <v/>
      </c>
      <c r="E7" s="17">
        <f>Inputs!$B$13</f>
        <v/>
      </c>
      <c r="F7" s="17">
        <f>IF(OR(C7="",D7=""),"",C7+D7)</f>
        <v/>
      </c>
      <c r="G7" s="17">
        <f>IF(OR(C7="",E7=""),"",C7+E7)</f>
        <v/>
      </c>
    </row>
    <row r="9">
      <c r="A9" s="3" t="inlineStr">
        <is>
          <t>Structures (bridges, drainage, slope stabilisation) are shown as their own range, not folded into a contingency percentage — they are the dominant uncertainty on this alignment and no public structure inventory is expected.</t>
        </is>
      </c>
    </row>
    <row r="10">
      <c r="A10" s="3" t="inlineStr">
        <is>
          <t>The Cañada de Cuicatlán sits where Sierra Madre Oriental and Sierra Madre del Sur folding converge; documented rainy-season suspension implies scour and slope exposure at water crossings.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22" customWidth="1" min="4" max="4"/>
    <col width="18" customWidth="1" min="5" max="5"/>
    <col width="24" customWidth="1" min="6" max="6"/>
    <col width="26" customWidth="1" min="7" max="7"/>
  </cols>
  <sheetData>
    <row r="1">
      <c r="A1" s="1" t="inlineStr">
        <is>
          <t>Breakeven tonnage back-solve</t>
        </is>
      </c>
    </row>
    <row r="2">
      <c r="A2" s="3" t="inlineStr">
        <is>
          <t>T = (AnnualCapital + FixedOM) / ( L × ( margin − varOM × (1+tare) ) ).  Closed form: revenue and variable O&amp;M are both linear in tonnage, so the O&amp;M circularity resolves algebraically rather than by iteration.</t>
        </is>
      </c>
    </row>
    <row r="3">
      <c r="A3" s="18" t="inlineStr">
        <is>
          <t>If margin − varOM×(1+tare) ≤ 0 the line loses money on every incremental tonne and NO tonnage breaks even. The sheet says so rather than returning a number.</t>
        </is>
      </c>
    </row>
    <row r="5">
      <c r="A5" s="2" t="inlineStr">
        <is>
          <t>Net contribution per net ton-km after track wear</t>
        </is>
      </c>
      <c r="B5" s="16">
        <f>IF(OR(Inputs!B24="",Inputs!B21="",Inputs!B22=""),"",Inputs!B24-Inputs!B21*(1+Inputs!B22))</f>
        <v/>
      </c>
      <c r="C5" t="inlineStr">
        <is>
          <t>MXN / net ton-km</t>
        </is>
      </c>
      <c r="D5" s="2">
        <f>IF(B5="","pending margin + O&amp;M inputs",IF(B5&lt;=0,"NO TONNAGE BREAKS EVEN — track wear exceeds margin","positive contribution"))</f>
        <v/>
      </c>
    </row>
    <row r="7">
      <c r="A7" s="4" t="inlineStr">
        <is>
          <t>Capital scenario</t>
        </is>
      </c>
      <c r="B7" s="4" t="inlineStr">
        <is>
          <t>Capital (MXN m)</t>
        </is>
      </c>
      <c r="C7" s="4" t="inlineStr">
        <is>
          <t>Cost of capital</t>
        </is>
      </c>
      <c r="D7" s="4" t="inlineStr">
        <is>
          <t>Annualised capital (MXN m/yr)</t>
        </is>
      </c>
      <c r="E7" s="4" t="inlineStr">
        <is>
          <t>Fixed O&amp;M (MXN m/yr)</t>
        </is>
      </c>
      <c r="F7" s="4" t="inlineStr">
        <is>
          <t>BREAKEVEN tonnage (net t/yr)</t>
        </is>
      </c>
      <c r="G7" s="4" t="inlineStr">
        <is>
          <t>Loaded truckloads/day each way</t>
        </is>
      </c>
    </row>
    <row r="8">
      <c r="A8" t="inlineStr">
        <is>
          <t>Light rehab (low structures)</t>
        </is>
      </c>
      <c r="B8" s="17">
        <f>Capital!F5</f>
        <v/>
      </c>
      <c r="C8" s="19">
        <f>Inputs!$B$16</f>
        <v/>
      </c>
      <c r="D8" s="17">
        <f>IF(OR(B8="",C8="",Inputs!$B$15=""),"",-PMT(C8,Inputs!$B$15,B8))</f>
        <v/>
      </c>
      <c r="E8" s="17">
        <f>Inputs!$B$20</f>
        <v/>
      </c>
      <c r="F8" s="20">
        <f>IF(OR(D8="",E8="",$B$5="",$B$5&lt;=0,Inputs!$B$5=""),"",(D8+E8)*1000000/(Inputs!$B$5*$B$5))</f>
        <v/>
      </c>
      <c r="G8" s="20">
        <f>IF(OR(F8="",Inputs!$B$30="",Inputs!$B$30=0),"",F8/(Inputs!$B$30*365*2))</f>
        <v/>
      </c>
    </row>
    <row r="9">
      <c r="A9" t="inlineStr">
        <is>
          <t>Light rehab (low structures)</t>
        </is>
      </c>
      <c r="B9" s="17">
        <f>Capital!F5</f>
        <v/>
      </c>
      <c r="C9" s="19">
        <f>Inputs!$B$17</f>
        <v/>
      </c>
      <c r="D9" s="17">
        <f>IF(OR(B9="",C9="",Inputs!$B$15=""),"",-PMT(C9,Inputs!$B$15,B9))</f>
        <v/>
      </c>
      <c r="E9" s="17">
        <f>Inputs!$B$20</f>
        <v/>
      </c>
      <c r="F9" s="20">
        <f>IF(OR(D9="",E9="",$B$5="",$B$5&lt;=0,Inputs!$B$5=""),"",(D9+E9)*1000000/(Inputs!$B$5*$B$5))</f>
        <v/>
      </c>
      <c r="G9" s="20">
        <f>IF(OR(F9="",Inputs!$B$30="",Inputs!$B$30=0),"",F9/(Inputs!$B$30*365*2))</f>
        <v/>
      </c>
    </row>
    <row r="10">
      <c r="A10" t="inlineStr">
        <is>
          <t>Light rehab (low structures)</t>
        </is>
      </c>
      <c r="B10" s="17">
        <f>Capital!F5</f>
        <v/>
      </c>
      <c r="C10" s="19">
        <f>Inputs!$B$18</f>
        <v/>
      </c>
      <c r="D10" s="17">
        <f>IF(OR(B10="",C10="",Inputs!$B$15=""),"",-PMT(C10,Inputs!$B$15,B10))</f>
        <v/>
      </c>
      <c r="E10" s="17">
        <f>Inputs!$B$20</f>
        <v/>
      </c>
      <c r="F10" s="20">
        <f>IF(OR(D10="",E10="",$B$5="",$B$5&lt;=0,Inputs!$B$5=""),"",(D10+E10)*1000000/(Inputs!$B$5*$B$5))</f>
        <v/>
      </c>
      <c r="G10" s="20">
        <f>IF(OR(F10="",Inputs!$B$30="",Inputs!$B$30=0),"",F10/(Inputs!$B$30*365*2))</f>
        <v/>
      </c>
    </row>
    <row r="11">
      <c r="A11" t="inlineStr">
        <is>
          <t>Light rehab (high structures)</t>
        </is>
      </c>
      <c r="B11" s="17">
        <f>Capital!G5</f>
        <v/>
      </c>
      <c r="C11" s="19">
        <f>Inputs!$B$16</f>
        <v/>
      </c>
      <c r="D11" s="17">
        <f>IF(OR(B11="",C11="",Inputs!$B$15=""),"",-PMT(C11,Inputs!$B$15,B11))</f>
        <v/>
      </c>
      <c r="E11" s="17">
        <f>Inputs!$B$20</f>
        <v/>
      </c>
      <c r="F11" s="20">
        <f>IF(OR(D11="",E11="",$B$5="",$B$5&lt;=0,Inputs!$B$5=""),"",(D11+E11)*1000000/(Inputs!$B$5*$B$5))</f>
        <v/>
      </c>
      <c r="G11" s="20">
        <f>IF(OR(F11="",Inputs!$B$30="",Inputs!$B$30=0),"",F11/(Inputs!$B$30*365*2))</f>
        <v/>
      </c>
    </row>
    <row r="12">
      <c r="A12" t="inlineStr">
        <is>
          <t>Light rehab (high structures)</t>
        </is>
      </c>
      <c r="B12" s="17">
        <f>Capital!G5</f>
        <v/>
      </c>
      <c r="C12" s="19">
        <f>Inputs!$B$17</f>
        <v/>
      </c>
      <c r="D12" s="17">
        <f>IF(OR(B12="",C12="",Inputs!$B$15=""),"",-PMT(C12,Inputs!$B$15,B12))</f>
        <v/>
      </c>
      <c r="E12" s="17">
        <f>Inputs!$B$20</f>
        <v/>
      </c>
      <c r="F12" s="20">
        <f>IF(OR(D12="",E12="",$B$5="",$B$5&lt;=0,Inputs!$B$5=""),"",(D12+E12)*1000000/(Inputs!$B$5*$B$5))</f>
        <v/>
      </c>
      <c r="G12" s="20">
        <f>IF(OR(F12="",Inputs!$B$30="",Inputs!$B$30=0),"",F12/(Inputs!$B$30*365*2))</f>
        <v/>
      </c>
    </row>
    <row r="13">
      <c r="A13" t="inlineStr">
        <is>
          <t>Light rehab (high structures)</t>
        </is>
      </c>
      <c r="B13" s="17">
        <f>Capital!G5</f>
        <v/>
      </c>
      <c r="C13" s="19">
        <f>Inputs!$B$18</f>
        <v/>
      </c>
      <c r="D13" s="17">
        <f>IF(OR(B13="",C13="",Inputs!$B$15=""),"",-PMT(C13,Inputs!$B$15,B13))</f>
        <v/>
      </c>
      <c r="E13" s="17">
        <f>Inputs!$B$20</f>
        <v/>
      </c>
      <c r="F13" s="20">
        <f>IF(OR(D13="",E13="",$B$5="",$B$5&lt;=0,Inputs!$B$5=""),"",(D13+E13)*1000000/(Inputs!$B$5*$B$5))</f>
        <v/>
      </c>
      <c r="G13" s="20">
        <f>IF(OR(F13="",Inputs!$B$30="",Inputs!$B$30=0),"",F13/(Inputs!$B$30*365*2))</f>
        <v/>
      </c>
    </row>
    <row r="14">
      <c r="A14" t="inlineStr">
        <is>
          <t>Heavy rehab (low structures)</t>
        </is>
      </c>
      <c r="B14" s="17">
        <f>Capital!F6</f>
        <v/>
      </c>
      <c r="C14" s="19">
        <f>Inputs!$B$16</f>
        <v/>
      </c>
      <c r="D14" s="17">
        <f>IF(OR(B14="",C14="",Inputs!$B$15=""),"",-PMT(C14,Inputs!$B$15,B14))</f>
        <v/>
      </c>
      <c r="E14" s="17">
        <f>Inputs!$B$20</f>
        <v/>
      </c>
      <c r="F14" s="20">
        <f>IF(OR(D14="",E14="",$B$5="",$B$5&lt;=0,Inputs!$B$5=""),"",(D14+E14)*1000000/(Inputs!$B$5*$B$5))</f>
        <v/>
      </c>
      <c r="G14" s="20">
        <f>IF(OR(F14="",Inputs!$B$30="",Inputs!$B$30=0),"",F14/(Inputs!$B$30*365*2))</f>
        <v/>
      </c>
    </row>
    <row r="15">
      <c r="A15" t="inlineStr">
        <is>
          <t>Heavy rehab (low structures)</t>
        </is>
      </c>
      <c r="B15" s="17">
        <f>Capital!F6</f>
        <v/>
      </c>
      <c r="C15" s="19">
        <f>Inputs!$B$17</f>
        <v/>
      </c>
      <c r="D15" s="17">
        <f>IF(OR(B15="",C15="",Inputs!$B$15=""),"",-PMT(C15,Inputs!$B$15,B15))</f>
        <v/>
      </c>
      <c r="E15" s="17">
        <f>Inputs!$B$20</f>
        <v/>
      </c>
      <c r="F15" s="20">
        <f>IF(OR(D15="",E15="",$B$5="",$B$5&lt;=0,Inputs!$B$5=""),"",(D15+E15)*1000000/(Inputs!$B$5*$B$5))</f>
        <v/>
      </c>
      <c r="G15" s="20">
        <f>IF(OR(F15="",Inputs!$B$30="",Inputs!$B$30=0),"",F15/(Inputs!$B$30*365*2))</f>
        <v/>
      </c>
    </row>
    <row r="16">
      <c r="A16" t="inlineStr">
        <is>
          <t>Heavy rehab (low structures)</t>
        </is>
      </c>
      <c r="B16" s="17">
        <f>Capital!F6</f>
        <v/>
      </c>
      <c r="C16" s="19">
        <f>Inputs!$B$18</f>
        <v/>
      </c>
      <c r="D16" s="17">
        <f>IF(OR(B16="",C16="",Inputs!$B$15=""),"",-PMT(C16,Inputs!$B$15,B16))</f>
        <v/>
      </c>
      <c r="E16" s="17">
        <f>Inputs!$B$20</f>
        <v/>
      </c>
      <c r="F16" s="20">
        <f>IF(OR(D16="",E16="",$B$5="",$B$5&lt;=0,Inputs!$B$5=""),"",(D16+E16)*1000000/(Inputs!$B$5*$B$5))</f>
        <v/>
      </c>
      <c r="G16" s="20">
        <f>IF(OR(F16="",Inputs!$B$30="",Inputs!$B$30=0),"",F16/(Inputs!$B$30*365*2))</f>
        <v/>
      </c>
    </row>
    <row r="17">
      <c r="A17" t="inlineStr">
        <is>
          <t>Heavy rehab (high structures)</t>
        </is>
      </c>
      <c r="B17" s="17">
        <f>Capital!G6</f>
        <v/>
      </c>
      <c r="C17" s="19">
        <f>Inputs!$B$16</f>
        <v/>
      </c>
      <c r="D17" s="17">
        <f>IF(OR(B17="",C17="",Inputs!$B$15=""),"",-PMT(C17,Inputs!$B$15,B17))</f>
        <v/>
      </c>
      <c r="E17" s="17">
        <f>Inputs!$B$20</f>
        <v/>
      </c>
      <c r="F17" s="20">
        <f>IF(OR(D17="",E17="",$B$5="",$B$5&lt;=0,Inputs!$B$5=""),"",(D17+E17)*1000000/(Inputs!$B$5*$B$5))</f>
        <v/>
      </c>
      <c r="G17" s="20">
        <f>IF(OR(F17="",Inputs!$B$30="",Inputs!$B$30=0),"",F17/(Inputs!$B$30*365*2))</f>
        <v/>
      </c>
    </row>
    <row r="18">
      <c r="A18" t="inlineStr">
        <is>
          <t>Heavy rehab (high structures)</t>
        </is>
      </c>
      <c r="B18" s="17">
        <f>Capital!G6</f>
        <v/>
      </c>
      <c r="C18" s="19">
        <f>Inputs!$B$17</f>
        <v/>
      </c>
      <c r="D18" s="17">
        <f>IF(OR(B18="",C18="",Inputs!$B$15=""),"",-PMT(C18,Inputs!$B$15,B18))</f>
        <v/>
      </c>
      <c r="E18" s="17">
        <f>Inputs!$B$20</f>
        <v/>
      </c>
      <c r="F18" s="20">
        <f>IF(OR(D18="",E18="",$B$5="",$B$5&lt;=0,Inputs!$B$5=""),"",(D18+E18)*1000000/(Inputs!$B$5*$B$5))</f>
        <v/>
      </c>
      <c r="G18" s="20">
        <f>IF(OR(F18="",Inputs!$B$30="",Inputs!$B$30=0),"",F18/(Inputs!$B$30*365*2))</f>
        <v/>
      </c>
    </row>
    <row r="19">
      <c r="A19" t="inlineStr">
        <is>
          <t>Heavy rehab (high structures)</t>
        </is>
      </c>
      <c r="B19" s="17">
        <f>Capital!G6</f>
        <v/>
      </c>
      <c r="C19" s="19">
        <f>Inputs!$B$18</f>
        <v/>
      </c>
      <c r="D19" s="17">
        <f>IF(OR(B19="",C19="",Inputs!$B$15=""),"",-PMT(C19,Inputs!$B$15,B19))</f>
        <v/>
      </c>
      <c r="E19" s="17">
        <f>Inputs!$B$20</f>
        <v/>
      </c>
      <c r="F19" s="20">
        <f>IF(OR(D19="",E19="",$B$5="",$B$5&lt;=0,Inputs!$B$5=""),"",(D19+E19)*1000000/(Inputs!$B$5*$B$5))</f>
        <v/>
      </c>
      <c r="G19" s="20">
        <f>IF(OR(F19="",Inputs!$B$30="",Inputs!$B$30=0),"",F19/(Inputs!$B$30*365*2))</f>
        <v/>
      </c>
    </row>
    <row r="20">
      <c r="A20" t="inlineStr">
        <is>
          <t>Substantial recon (low struct.)</t>
        </is>
      </c>
      <c r="B20" s="17">
        <f>Capital!F7</f>
        <v/>
      </c>
      <c r="C20" s="19">
        <f>Inputs!$B$16</f>
        <v/>
      </c>
      <c r="D20" s="17">
        <f>IF(OR(B20="",C20="",Inputs!$B$15=""),"",-PMT(C20,Inputs!$B$15,B20))</f>
        <v/>
      </c>
      <c r="E20" s="17">
        <f>Inputs!$B$20</f>
        <v/>
      </c>
      <c r="F20" s="20">
        <f>IF(OR(D20="",E20="",$B$5="",$B$5&lt;=0,Inputs!$B$5=""),"",(D20+E20)*1000000/(Inputs!$B$5*$B$5))</f>
        <v/>
      </c>
      <c r="G20" s="20">
        <f>IF(OR(F20="",Inputs!$B$30="",Inputs!$B$30=0),"",F20/(Inputs!$B$30*365*2))</f>
        <v/>
      </c>
    </row>
    <row r="21">
      <c r="A21" t="inlineStr">
        <is>
          <t>Substantial recon (low struct.)</t>
        </is>
      </c>
      <c r="B21" s="17">
        <f>Capital!F7</f>
        <v/>
      </c>
      <c r="C21" s="19">
        <f>Inputs!$B$17</f>
        <v/>
      </c>
      <c r="D21" s="17">
        <f>IF(OR(B21="",C21="",Inputs!$B$15=""),"",-PMT(C21,Inputs!$B$15,B21))</f>
        <v/>
      </c>
      <c r="E21" s="17">
        <f>Inputs!$B$20</f>
        <v/>
      </c>
      <c r="F21" s="20">
        <f>IF(OR(D21="",E21="",$B$5="",$B$5&lt;=0,Inputs!$B$5=""),"",(D21+E21)*1000000/(Inputs!$B$5*$B$5))</f>
        <v/>
      </c>
      <c r="G21" s="20">
        <f>IF(OR(F21="",Inputs!$B$30="",Inputs!$B$30=0),"",F21/(Inputs!$B$30*365*2))</f>
        <v/>
      </c>
    </row>
    <row r="22">
      <c r="A22" t="inlineStr">
        <is>
          <t>Substantial recon (low struct.)</t>
        </is>
      </c>
      <c r="B22" s="17">
        <f>Capital!F7</f>
        <v/>
      </c>
      <c r="C22" s="19">
        <f>Inputs!$B$18</f>
        <v/>
      </c>
      <c r="D22" s="17">
        <f>IF(OR(B22="",C22="",Inputs!$B$15=""),"",-PMT(C22,Inputs!$B$15,B22))</f>
        <v/>
      </c>
      <c r="E22" s="17">
        <f>Inputs!$B$20</f>
        <v/>
      </c>
      <c r="F22" s="20">
        <f>IF(OR(D22="",E22="",$B$5="",$B$5&lt;=0,Inputs!$B$5=""),"",(D22+E22)*1000000/(Inputs!$B$5*$B$5))</f>
        <v/>
      </c>
      <c r="G22" s="20">
        <f>IF(OR(F22="",Inputs!$B$30="",Inputs!$B$30=0),"",F22/(Inputs!$B$30*365*2))</f>
        <v/>
      </c>
    </row>
    <row r="23">
      <c r="A23" t="inlineStr">
        <is>
          <t>Substantial recon (high struct.)</t>
        </is>
      </c>
      <c r="B23" s="17">
        <f>Capital!G7</f>
        <v/>
      </c>
      <c r="C23" s="19">
        <f>Inputs!$B$16</f>
        <v/>
      </c>
      <c r="D23" s="17">
        <f>IF(OR(B23="",C23="",Inputs!$B$15=""),"",-PMT(C23,Inputs!$B$15,B23))</f>
        <v/>
      </c>
      <c r="E23" s="17">
        <f>Inputs!$B$20</f>
        <v/>
      </c>
      <c r="F23" s="20">
        <f>IF(OR(D23="",E23="",$B$5="",$B$5&lt;=0,Inputs!$B$5=""),"",(D23+E23)*1000000/(Inputs!$B$5*$B$5))</f>
        <v/>
      </c>
      <c r="G23" s="20">
        <f>IF(OR(F23="",Inputs!$B$30="",Inputs!$B$30=0),"",F23/(Inputs!$B$30*365*2))</f>
        <v/>
      </c>
    </row>
    <row r="24">
      <c r="A24" t="inlineStr">
        <is>
          <t>Substantial recon (high struct.)</t>
        </is>
      </c>
      <c r="B24" s="17">
        <f>Capital!G7</f>
        <v/>
      </c>
      <c r="C24" s="19">
        <f>Inputs!$B$17</f>
        <v/>
      </c>
      <c r="D24" s="17">
        <f>IF(OR(B24="",C24="",Inputs!$B$15=""),"",-PMT(C24,Inputs!$B$15,B24))</f>
        <v/>
      </c>
      <c r="E24" s="17">
        <f>Inputs!$B$20</f>
        <v/>
      </c>
      <c r="F24" s="20">
        <f>IF(OR(D24="",E24="",$B$5="",$B$5&lt;=0,Inputs!$B$5=""),"",(D24+E24)*1000000/(Inputs!$B$5*$B$5))</f>
        <v/>
      </c>
      <c r="G24" s="20">
        <f>IF(OR(F24="",Inputs!$B$30="",Inputs!$B$30=0),"",F24/(Inputs!$B$30*365*2))</f>
        <v/>
      </c>
    </row>
    <row r="25">
      <c r="A25" t="inlineStr">
        <is>
          <t>Substantial recon (high struct.)</t>
        </is>
      </c>
      <c r="B25" s="17">
        <f>Capital!G7</f>
        <v/>
      </c>
      <c r="C25" s="19">
        <f>Inputs!$B$18</f>
        <v/>
      </c>
      <c r="D25" s="17">
        <f>IF(OR(B25="",C25="",Inputs!$B$15=""),"",-PMT(C25,Inputs!$B$15,B25))</f>
        <v/>
      </c>
      <c r="E25" s="17">
        <f>Inputs!$B$20</f>
        <v/>
      </c>
      <c r="F25" s="20">
        <f>IF(OR(D25="",E25="",$B$5="",$B$5&lt;=0,Inputs!$B$5=""),"",(D25+E25)*1000000/(Inputs!$B$5*$B$5))</f>
        <v/>
      </c>
      <c r="G25" s="20">
        <f>IF(OR(F25="",Inputs!$B$30="",Inputs!$B$30=0),"",F25/(Inputs!$B$30*365*2))</f>
        <v/>
      </c>
    </row>
    <row r="27">
      <c r="A27" s="2" t="inlineStr">
        <is>
          <t>STOP RULE 3 — does the answer flip across track-condition scenarios?</t>
        </is>
      </c>
    </row>
    <row r="28">
      <c r="A28" s="3" t="inlineStr">
        <is>
          <t>Compare the breakeven range above against divertible tonnage on 'Compare'. If the project clears under light rehabilitation and fails under substantial reconstruction, the correct output is INDETERMINATE pending field reconnaissance — not a base case with a verdict attached. Report the scenario at which it flips: that is the single most decision-relevant number in the study.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22" customWidth="1" min="3" max="3"/>
    <col width="14" customWidth="1" min="4" max="4"/>
    <col width="24" customWidth="1" min="5" max="5"/>
    <col width="34" customWidth="1" min="6" max="6"/>
  </cols>
  <sheetData>
    <row r="1">
      <c r="A1" s="1" t="inlineStr">
        <is>
          <t>Commodity segregation and mode-diversion assumptions</t>
        </is>
      </c>
    </row>
    <row r="2">
      <c r="A2" s="3" t="inlineStr">
        <is>
          <t>The decisive analytical step. Diversion rates are ASSUMPTIONS and the answer is highly sensitive to them — each needs its own cited source before use.</t>
        </is>
      </c>
    </row>
    <row r="4">
      <c r="A4" s="4" t="inlineStr">
        <is>
          <t>Commodity class</t>
        </is>
      </c>
      <c r="B4" s="4" t="inlineStr">
        <is>
          <t>Rail-divertible?</t>
        </is>
      </c>
      <c r="C4" s="4" t="inlineStr">
        <is>
          <t>Corridor tonnage (t/yr)</t>
        </is>
      </c>
      <c r="D4" s="4" t="inlineStr">
        <is>
          <t>Diversion rate</t>
        </is>
      </c>
      <c r="E4" s="4" t="inlineStr">
        <is>
          <t>Divertible tonnage (t/yr)</t>
        </is>
      </c>
      <c r="F4" s="4" t="inlineStr">
        <is>
          <t>Source for diversion rate</t>
        </is>
      </c>
    </row>
    <row r="5">
      <c r="A5" t="inlineStr">
        <is>
          <t>Cement</t>
        </is>
      </c>
      <c r="B5" t="inlineStr">
        <is>
          <t>yes</t>
        </is>
      </c>
      <c r="C5" s="13" t="n"/>
      <c r="D5" s="11" t="n"/>
      <c r="E5" s="20">
        <f>IF(OR(C5="",D5=""),"",C5*D5)</f>
        <v/>
      </c>
    </row>
    <row r="6">
      <c r="A6" t="inlineStr">
        <is>
          <t>Aggregate</t>
        </is>
      </c>
      <c r="B6" t="inlineStr">
        <is>
          <t>yes</t>
        </is>
      </c>
      <c r="C6" s="13" t="n"/>
      <c r="D6" s="11" t="n"/>
      <c r="E6" s="20">
        <f>IF(OR(C6="",D6=""),"",C6*D6)</f>
        <v/>
      </c>
    </row>
    <row r="7">
      <c r="A7" t="inlineStr">
        <is>
          <t>Fertilizer</t>
        </is>
      </c>
      <c r="B7" t="inlineStr">
        <is>
          <t>yes</t>
        </is>
      </c>
      <c r="C7" s="13" t="n"/>
      <c r="D7" s="11" t="n"/>
      <c r="E7" s="20">
        <f>IF(OR(C7="",D7=""),"",C7*D7)</f>
        <v/>
      </c>
    </row>
    <row r="8">
      <c r="A8" t="inlineStr">
        <is>
          <t>Grain</t>
        </is>
      </c>
      <c r="B8" t="inlineStr">
        <is>
          <t>yes</t>
        </is>
      </c>
      <c r="C8" s="13" t="n"/>
      <c r="D8" s="11" t="n"/>
      <c r="E8" s="20">
        <f>IF(OR(C8="",D8=""),"",C8*D8)</f>
        <v/>
      </c>
    </row>
    <row r="9">
      <c r="A9" t="inlineStr">
        <is>
          <t>Fuel</t>
        </is>
      </c>
      <c r="B9" t="inlineStr">
        <is>
          <t>yes</t>
        </is>
      </c>
      <c r="C9" s="13" t="n"/>
      <c r="D9" s="11" t="n"/>
      <c r="E9" s="20">
        <f>IF(OR(C9="",D9=""),"",C9*D9)</f>
        <v/>
      </c>
    </row>
    <row r="10">
      <c r="A10" t="inlineStr">
        <is>
          <t>Steel</t>
        </is>
      </c>
      <c r="B10" t="inlineStr">
        <is>
          <t>yes</t>
        </is>
      </c>
      <c r="C10" s="13" t="n"/>
      <c r="D10" s="11" t="n"/>
      <c r="E10" s="20">
        <f>IF(OR(C10="",D10=""),"",C10*D10)</f>
        <v/>
      </c>
    </row>
    <row r="11">
      <c r="A11" t="inlineStr">
        <is>
          <t>Containerised manufactured</t>
        </is>
      </c>
      <c r="B11" t="inlineStr">
        <is>
          <t>yes</t>
        </is>
      </c>
      <c r="C11" s="13" t="n"/>
      <c r="D11" s="11" t="n"/>
      <c r="E11" s="20">
        <f>IF(OR(C11="",D11=""),"",C11*D11)</f>
        <v/>
      </c>
    </row>
    <row r="12">
      <c r="A12" t="inlineStr">
        <is>
          <t>Refrigerated</t>
        </is>
      </c>
      <c r="B12" t="inlineStr">
        <is>
          <t>low</t>
        </is>
      </c>
      <c r="C12" s="13" t="n"/>
      <c r="D12" s="11" t="n"/>
      <c r="E12" s="20">
        <f>IF(OR(C12="",D12=""),"",C12*D12)</f>
        <v/>
      </c>
    </row>
    <row r="13">
      <c r="A13" t="inlineStr">
        <is>
          <t>Time-sensitive</t>
        </is>
      </c>
      <c r="B13" t="inlineStr">
        <is>
          <t>low</t>
        </is>
      </c>
      <c r="C13" s="13" t="n"/>
      <c r="D13" s="11" t="n"/>
      <c r="E13" s="20">
        <f>IF(OR(C13="",D13=""),"",C13*D13)</f>
        <v/>
      </c>
    </row>
    <row r="14">
      <c r="A14" t="inlineStr">
        <is>
          <t>High-value low-density agricultural</t>
        </is>
      </c>
      <c r="B14" t="inlineStr">
        <is>
          <t>low</t>
        </is>
      </c>
      <c r="C14" s="13" t="n"/>
      <c r="D14" s="11" t="n"/>
      <c r="E14" s="20">
        <f>IF(OR(C14="",D14=""),"",C14*D14)</f>
        <v/>
      </c>
    </row>
    <row r="15">
      <c r="A15" s="2" t="inlineStr">
        <is>
          <t>TOTAL divertible</t>
        </is>
      </c>
      <c r="E15" s="21">
        <f>IF(COUNT(E5:E14)=0,"",SUM(E5:E14))</f>
        <v/>
      </c>
    </row>
    <row r="17">
      <c r="A17" s="3" t="inlineStr">
        <is>
          <t>Low-diversion classes (mezcal, coffee, avocado, mango, figs) are a large share of Oaxaca's tradeable output and are exactly the goods least likely to move by rail. Segregating them is what prevents a headline tonnage figure from overstating the case.</t>
        </is>
      </c>
    </row>
    <row r="18">
      <c r="A18" s="3" t="inlineStr">
        <is>
          <t>Aforo data classifies by axle configuration only — there is NO commodity field. Commodity mix must come from production and trade data (SIAP, INEGI Censos Económicos), not from truck counts.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4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Maximum supportable capital — the screen inverted</t>
        </is>
      </c>
    </row>
    <row r="2">
      <c r="A2" s="3" t="inlineStr">
        <is>
          <t>A planning-level capital cost for this alignment could not be sourced. So instead: given what the corridor demonstrably moves and what Mexican railways demonstrably earn per ton-km, how much capital could the line support? Needs no capital estimate.</t>
        </is>
      </c>
    </row>
    <row r="4">
      <c r="A4" s="2" t="inlineStr">
        <is>
          <t>CORRIDOR TONNAGE FROM OBSERVED TRAFFIC</t>
        </is>
      </c>
    </row>
    <row r="5">
      <c r="A5" t="inlineStr">
        <is>
          <t>Articulated veh/day, both directions</t>
        </is>
      </c>
      <c r="B5" s="20">
        <f>Inputs!B32</f>
        <v/>
      </c>
      <c r="C5" t="inlineStr">
        <is>
          <t>veh/day</t>
        </is>
      </c>
      <c r="D5" s="3" t="inlineStr">
        <is>
          <t>sct-2025-datosviales-oaxaca (SR-2 bound)</t>
        </is>
      </c>
    </row>
    <row r="6">
      <c r="A6" t="inlineStr">
        <is>
          <t>Loaded share</t>
        </is>
      </c>
      <c r="B6" s="22">
        <f>IF(Inputs!B31="","",1-Inputs!B31)</f>
        <v/>
      </c>
      <c r="C6" t="inlineStr">
        <is>
          <t>fraction</t>
        </is>
      </c>
      <c r="D6" s="3" t="inlineStr">
        <is>
          <t>[ASSUMPTION] 30–50% empty</t>
        </is>
      </c>
    </row>
    <row r="7">
      <c r="A7" t="inlineStr">
        <is>
          <t>Payload per loaded truck</t>
        </is>
      </c>
      <c r="B7" s="22">
        <f>Inputs!B30</f>
        <v/>
      </c>
      <c r="C7" t="inlineStr">
        <is>
          <t>tonnes</t>
        </is>
      </c>
      <c r="D7" s="3" t="inlineStr">
        <is>
          <t>[ASSUMPTION] 25–30 t</t>
        </is>
      </c>
    </row>
    <row r="8">
      <c r="A8" t="inlineStr">
        <is>
          <t>Corridor tonnage</t>
        </is>
      </c>
      <c r="B8" s="20">
        <f>IF(OR(B5="",B6="",B7=""),"",B5*B6*B7*365)</f>
        <v/>
      </c>
      <c r="C8" t="inlineStr">
        <is>
          <t>tonnes / yr</t>
        </is>
      </c>
      <c r="D8" s="3" t="inlineStr">
        <is>
          <t>derived</t>
        </is>
      </c>
    </row>
    <row r="10">
      <c r="A10" s="2" t="inlineStr">
        <is>
          <t>MAXIMUM SUPPORTABLE CAPITAL (MXN million per route-km)</t>
        </is>
      </c>
    </row>
    <row r="11">
      <c r="A11" s="3" t="inlineStr">
        <is>
          <t>Rows = share of corridor freight won by rail [ASSUMPTION]. Columns = cost of capital, 30-year life.</t>
        </is>
      </c>
    </row>
    <row r="12">
      <c r="A12" s="4" t="inlineStr">
        <is>
          <t>Diversion</t>
        </is>
      </c>
      <c r="B12" s="4" t="inlineStr">
        <is>
          <t>Tonnage (t/yr)</t>
        </is>
      </c>
      <c r="C12" s="4" t="inlineStr">
        <is>
          <t>Annual surplus (MXN m)</t>
        </is>
      </c>
      <c r="D12" s="4" t="inlineStr">
        <is>
          <t>@5% MXN m/km</t>
        </is>
      </c>
      <c r="E12" s="4" t="inlineStr">
        <is>
          <t>@6% MXN m/km</t>
        </is>
      </c>
      <c r="F12" s="4" t="inlineStr">
        <is>
          <t>@8% MXN m/km</t>
        </is>
      </c>
    </row>
    <row r="13">
      <c r="A13" s="23" t="n">
        <v>1</v>
      </c>
      <c r="B13" s="20">
        <f>IF($B$8="","",$B$8*A13)</f>
        <v/>
      </c>
      <c r="C13" s="17">
        <f>IF(OR(B13="",Inputs!$B$24="",Inputs!$B$5=""),"",B13*Inputs!$B$5*Inputs!$B$24/1000000)</f>
        <v/>
      </c>
      <c r="D13" s="17">
        <f>IF(OR($C13="",Inputs!$B$16="",Inputs!$B$15="",Inputs!$B$5=""),"",$C13*((1-(1+Inputs!$B$16)^-Inputs!$B$15)/Inputs!$B$16)/Inputs!$B$5)</f>
        <v/>
      </c>
      <c r="E13" s="17">
        <f>IF(OR($C13="",Inputs!$B$17="",Inputs!$B$15="",Inputs!$B$5=""),"",$C13*((1-(1+Inputs!$B$17)^-Inputs!$B$15)/Inputs!$B$17)/Inputs!$B$5)</f>
        <v/>
      </c>
      <c r="F13" s="17">
        <f>IF(OR($C13="",Inputs!$B$18="",Inputs!$B$15="",Inputs!$B$5=""),"",$C13*((1-(1+Inputs!$B$18)^-Inputs!$B$15)/Inputs!$B$18)/Inputs!$B$5)</f>
        <v/>
      </c>
    </row>
    <row r="14">
      <c r="A14" s="23" t="n">
        <v>0.5</v>
      </c>
      <c r="B14" s="20">
        <f>IF($B$8="","",$B$8*A14)</f>
        <v/>
      </c>
      <c r="C14" s="17">
        <f>IF(OR(B14="",Inputs!$B$24="",Inputs!$B$5=""),"",B14*Inputs!$B$5*Inputs!$B$24/1000000)</f>
        <v/>
      </c>
      <c r="D14" s="17">
        <f>IF(OR($C14="",Inputs!$B$16="",Inputs!$B$15="",Inputs!$B$5=""),"",$C14*((1-(1+Inputs!$B$16)^-Inputs!$B$15)/Inputs!$B$16)/Inputs!$B$5)</f>
        <v/>
      </c>
      <c r="E14" s="17">
        <f>IF(OR($C14="",Inputs!$B$17="",Inputs!$B$15="",Inputs!$B$5=""),"",$C14*((1-(1+Inputs!$B$17)^-Inputs!$B$15)/Inputs!$B$17)/Inputs!$B$5)</f>
        <v/>
      </c>
      <c r="F14" s="17">
        <f>IF(OR($C14="",Inputs!$B$18="",Inputs!$B$15="",Inputs!$B$5=""),"",$C14*((1-(1+Inputs!$B$18)^-Inputs!$B$15)/Inputs!$B$18)/Inputs!$B$5)</f>
        <v/>
      </c>
    </row>
    <row r="15">
      <c r="A15" s="23" t="n">
        <v>0.3</v>
      </c>
      <c r="B15" s="20">
        <f>IF($B$8="","",$B$8*A15)</f>
        <v/>
      </c>
      <c r="C15" s="17">
        <f>IF(OR(B15="",Inputs!$B$24="",Inputs!$B$5=""),"",B15*Inputs!$B$5*Inputs!$B$24/1000000)</f>
        <v/>
      </c>
      <c r="D15" s="17">
        <f>IF(OR($C15="",Inputs!$B$16="",Inputs!$B$15="",Inputs!$B$5=""),"",$C15*((1-(1+Inputs!$B$16)^-Inputs!$B$15)/Inputs!$B$16)/Inputs!$B$5)</f>
        <v/>
      </c>
      <c r="E15" s="17">
        <f>IF(OR($C15="",Inputs!$B$17="",Inputs!$B$15="",Inputs!$B$5=""),"",$C15*((1-(1+Inputs!$B$17)^-Inputs!$B$15)/Inputs!$B$17)/Inputs!$B$5)</f>
        <v/>
      </c>
      <c r="F15" s="17">
        <f>IF(OR($C15="",Inputs!$B$18="",Inputs!$B$15="",Inputs!$B$5=""),"",$C15*((1-(1+Inputs!$B$18)^-Inputs!$B$15)/Inputs!$B$18)/Inputs!$B$5)</f>
        <v/>
      </c>
    </row>
    <row r="16">
      <c r="A16" s="23" t="n">
        <v>0.15</v>
      </c>
      <c r="B16" s="20">
        <f>IF($B$8="","",$B$8*A16)</f>
        <v/>
      </c>
      <c r="C16" s="17">
        <f>IF(OR(B16="",Inputs!$B$24="",Inputs!$B$5=""),"",B16*Inputs!$B$5*Inputs!$B$24/1000000)</f>
        <v/>
      </c>
      <c r="D16" s="17">
        <f>IF(OR($C16="",Inputs!$B$16="",Inputs!$B$15="",Inputs!$B$5=""),"",$C16*((1-(1+Inputs!$B$16)^-Inputs!$B$15)/Inputs!$B$16)/Inputs!$B$5)</f>
        <v/>
      </c>
      <c r="E16" s="17">
        <f>IF(OR($C16="",Inputs!$B$17="",Inputs!$B$15="",Inputs!$B$5=""),"",$C16*((1-(1+Inputs!$B$17)^-Inputs!$B$15)/Inputs!$B$17)/Inputs!$B$5)</f>
        <v/>
      </c>
      <c r="F16" s="17">
        <f>IF(OR($C16="",Inputs!$B$18="",Inputs!$B$15="",Inputs!$B$5=""),"",$C16*((1-(1+Inputs!$B$18)^-Inputs!$B$15)/Inputs!$B$18)/Inputs!$B$5)</f>
        <v/>
      </c>
    </row>
    <row r="19">
      <c r="A19" s="2" t="inlineStr">
        <is>
          <t>BENCHMARKS</t>
        </is>
      </c>
    </row>
    <row r="20">
      <c r="A20" t="inlineStr">
        <is>
          <t>UNESCAP light rehabilitation</t>
        </is>
      </c>
      <c r="B20" s="22">
        <f>IF(Inputs!B26="","",0.5*Inputs!B26)</f>
        <v/>
      </c>
      <c r="C20" s="3" t="inlineStr">
        <is>
          <t>MXN million / km</t>
        </is>
      </c>
      <c r="D20" s="3" t="inlineStr">
        <is>
          <t>&lt; USD 500,000/route-km, converted at Inputs!B26 — state the rate and its date</t>
        </is>
      </c>
    </row>
    <row r="21">
      <c r="A21" t="inlineStr">
        <is>
          <t>Línea Z Mexican precedent</t>
        </is>
      </c>
      <c r="B21" s="24" t="n">
        <v>60</v>
      </c>
      <c r="C21" s="3" t="inlineStr">
        <is>
          <t>MXN million / km</t>
        </is>
      </c>
      <c r="D21" s="3" t="inlineStr">
        <is>
          <t>~18,000 MXN million / ~300 km  [PRESS — UNVERIFIED, must not carry a conclusion]</t>
        </is>
      </c>
    </row>
    <row r="23">
      <c r="A23" s="2" t="inlineStr">
        <is>
          <t>VERDICT TEST</t>
        </is>
      </c>
      <c r="B23" s="25">
        <f>IF(OR(D13="",B21=""),"pending inputs",IF(F13&lt;B21,"FAILS — even 100% capture at the highest cost of capital cannot support the Mexican precedent unit cost","review"))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6" customWidth="1" min="1" max="1"/>
    <col width="58" customWidth="1" min="2" max="2"/>
    <col width="14" customWidth="1" min="3" max="3"/>
    <col width="22" customWidth="1" min="4" max="4"/>
  </cols>
  <sheetData>
    <row r="1">
      <c r="A1" s="1" t="inlineStr">
        <is>
          <t>Compare — divertible tonnage against breakeven</t>
        </is>
      </c>
    </row>
    <row r="2">
      <c r="A2" s="3" t="inlineStr">
        <is>
          <t>Filled once both sides exist. Ranges, not point estimates.</t>
        </is>
      </c>
    </row>
    <row r="4">
      <c r="A4" s="4" t="inlineStr">
        <is>
          <t>Quantity</t>
        </is>
      </c>
      <c r="B4" s="4" t="inlineStr">
        <is>
          <t>Value</t>
        </is>
      </c>
      <c r="C4" s="4" t="inlineStr">
        <is>
          <t>Unit</t>
        </is>
      </c>
      <c r="D4" s="4" t="inlineStr">
        <is>
          <t>Source</t>
        </is>
      </c>
    </row>
    <row r="5">
      <c r="A5" t="inlineStr">
        <is>
          <t>Divertible tonnage (bottom-up, commodity)</t>
        </is>
      </c>
      <c r="B5" s="20">
        <f>Commodity!E15</f>
        <v/>
      </c>
      <c r="C5" t="inlineStr">
        <is>
          <t>t / yr</t>
        </is>
      </c>
      <c r="D5" t="inlineStr">
        <is>
          <t>Commodity sheet</t>
        </is>
      </c>
    </row>
    <row r="6">
      <c r="A6" t="inlineStr">
        <is>
          <t>Breakeven tonnage — most favourable case</t>
        </is>
      </c>
      <c r="B6" s="20">
        <f>IF(COUNT(Breakeven!F8:F25)=0,"",MIN(Breakeven!F8:F25))</f>
        <v/>
      </c>
      <c r="C6" t="inlineStr">
        <is>
          <t>t / yr</t>
        </is>
      </c>
      <c r="D6" t="inlineStr">
        <is>
          <t>Breakeven sheet</t>
        </is>
      </c>
    </row>
    <row r="7">
      <c r="A7" t="inlineStr">
        <is>
          <t>Breakeven tonnage — least favourable case</t>
        </is>
      </c>
      <c r="B7" s="20">
        <f>IF(COUNT(Breakeven!F8:F25)=0,"",MAX(Breakeven!F8:F25))</f>
        <v/>
      </c>
      <c r="C7" t="inlineStr">
        <is>
          <t>t / yr</t>
        </is>
      </c>
      <c r="D7" t="inlineStr">
        <is>
          <t>Breakeven sheet</t>
        </is>
      </c>
    </row>
    <row r="8">
      <c r="A8" t="inlineStr">
        <is>
          <t>Ratio: divertible / breakeven (favourable)</t>
        </is>
      </c>
      <c r="B8" s="22">
        <f>IF(OR(B5="",B6="",B6=0),"",B5/B6)</f>
        <v/>
      </c>
      <c r="C8" t="inlineStr">
        <is>
          <t>x</t>
        </is>
      </c>
      <c r="D8" t="inlineStr"/>
    </row>
    <row r="9">
      <c r="A9" t="inlineStr">
        <is>
          <t>Ratio: divertible / breakeven (unfavourable)</t>
        </is>
      </c>
      <c r="B9" s="22">
        <f>IF(OR(B5="",B7="",B7=0),"",B5/B7)</f>
        <v/>
      </c>
      <c r="C9" t="inlineStr">
        <is>
          <t>x</t>
        </is>
      </c>
      <c r="D9" t="inlineStr"/>
    </row>
    <row r="11">
      <c r="A11" s="2" t="inlineStr">
        <is>
          <t>VERDICT GATE</t>
        </is>
      </c>
    </row>
    <row r="12">
      <c r="A12" t="inlineStr">
        <is>
          <t>Stop Rule 3 test</t>
        </is>
      </c>
      <c r="B12" s="25">
        <f>IF(OR(B8="",B9=""),"pending inputs",IF(AND(B8&gt;1,B9&lt;1),"INDETERMINATE — scenarios straddle breakeven; field reconnaissance required",IF(B8&lt;1,"FAILS under every capital scenario",IF(B9&gt;1,"CLEARS under every capital scenario","review"))))</f>
        <v/>
      </c>
    </row>
    <row r="14">
      <c r="A14" s="3" t="inlineStr">
        <is>
          <t>A straddle is a real result, not a failure to decide. Per the brief, do not select a base case and present a conclusion — report the scenario at which the answer flips.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2026-08-27T11:22:47Z</dcterms:created>
  <dcterms:modified xsi:type="dcterms:W3CDTF">2026-08-27T11:22:47Z</dcterms:modified>
</cp:coreProperties>
</file>