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Capital" sheetId="3" state="visible" r:id="rId3"/>
    <sheet name="Breakeven" sheetId="4" state="visible" r:id="rId4"/>
    <sheet name="Commodity" sheetId="5" state="visible" r:id="rId5"/>
    <sheet name="Supportable" sheetId="6" state="visible" r:id="rId6"/>
    <sheet name="Compar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
  </numFmts>
  <fonts count="6">
    <font>
      <name val="Calibri"/>
      <family val="2"/>
      <color theme="1"/>
      <sz val="11"/>
      <scheme val="minor"/>
    </font>
    <font>
      <b val="1"/>
      <sz val="14"/>
    </font>
    <font>
      <b val="1"/>
    </font>
    <font>
      <i val="1"/>
      <color rgb="00666666"/>
      <sz val="9"/>
    </font>
    <font>
      <b val="1"/>
      <color rgb="00FFFFFF"/>
    </font>
    <font>
      <b val="1"/>
      <color rgb="009C0006"/>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2" fillId="3" borderId="0" pivotButton="0" quotePrefix="0" xfId="0"/>
    <xf numFmtId="0" fontId="0" fillId="3" borderId="0" pivotButton="0" quotePrefix="0" xfId="0"/>
    <xf numFmtId="164" fontId="0" fillId="4" borderId="1" pivotButton="0" quotePrefix="0" xfId="0"/>
    <xf numFmtId="4" fontId="0" fillId="4" borderId="1" pivotButton="0" quotePrefix="0" xfId="0"/>
    <xf numFmtId="0" fontId="0" fillId="5" borderId="1" pivotButton="0" quotePrefix="0" xfId="0"/>
    <xf numFmtId="164" fontId="0" fillId="5" borderId="1" pivotButton="0" quotePrefix="0" xfId="0"/>
    <xf numFmtId="3" fontId="0" fillId="4" borderId="1" pivotButton="0" quotePrefix="0" xfId="0"/>
    <xf numFmtId="165" fontId="0" fillId="4" borderId="1" pivotButton="0" quotePrefix="0" xfId="0"/>
    <xf numFmtId="164" fontId="0" fillId="6" borderId="1" pivotButton="0" quotePrefix="0" xfId="0"/>
    <xf numFmtId="166" fontId="0" fillId="6" borderId="1" pivotButton="0" quotePrefix="0" xfId="0"/>
    <xf numFmtId="4" fontId="0" fillId="6" borderId="1" pivotButton="0" quotePrefix="0" xfId="0"/>
    <xf numFmtId="166" fontId="0" fillId="4" borderId="1" pivotButton="0" quotePrefix="0" xfId="0"/>
    <xf numFmtId="165" fontId="0" fillId="6" borderId="1" pivotButton="0" quotePrefix="0" xfId="0"/>
    <xf numFmtId="0" fontId="5" fillId="0" borderId="0" pivotButton="0" quotePrefix="0" xfId="0"/>
    <xf numFmtId="3" fontId="0" fillId="6" borderId="1" pivotButton="0" quotePrefix="0" xfId="0"/>
    <xf numFmtId="0" fontId="0" fillId="4" borderId="1" pivotButton="0" quotePrefix="0" xfId="0"/>
    <xf numFmtId="3" fontId="2" fillId="6" borderId="1" pivotButton="0" quotePrefix="0" xfId="0"/>
    <xf numFmtId="165" fontId="0" fillId="0" borderId="0" pivotButton="0" quotePrefix="0" xfId="0"/>
    <xf numFmtId="4" fontId="0" fillId="5" borderId="1" pivotButton="0" quotePrefix="0" xfId="0"/>
    <xf numFmtId="0" fontId="2"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00" customWidth="1" min="1" max="1"/>
  </cols>
  <sheetData>
    <row r="1">
      <c r="A1" s="1" t="inlineStr">
        <is>
          <t>Vía Corta Oaxaca — Freight Reactivation Breakeven Model</t>
        </is>
      </c>
    </row>
    <row r="2">
      <c r="A2" t="inlineStr"/>
    </row>
    <row r="3">
      <c r="A3" t="inlineStr">
        <is>
          <t>Puebla (Sánchez) → Oaxaca City, línea E, ~216.5 route-km. Screening level.</t>
        </is>
      </c>
    </row>
    <row r="4">
      <c r="A4" t="inlineStr"/>
    </row>
    <row r="5">
      <c r="A5" s="2" t="inlineStr">
        <is>
          <t>WHAT THIS MODEL DOES</t>
        </is>
      </c>
    </row>
    <row r="6">
      <c r="A6" t="inlineStr">
        <is>
          <t>Back-solves the annual tonnage required to break even, then expresses it as loaded</t>
        </is>
      </c>
    </row>
    <row r="7">
      <c r="A7" t="inlineStr">
        <is>
          <t>truckloads/day each way so it is directly comparable to observed road traffic.</t>
        </is>
      </c>
    </row>
    <row r="8">
      <c r="A8" t="inlineStr">
        <is>
          <t>It does NOT forecast demand.</t>
        </is>
      </c>
    </row>
    <row r="9">
      <c r="A9" t="inlineStr"/>
    </row>
    <row r="10">
      <c r="A10" s="2" t="inlineStr">
        <is>
          <t>CELL COLOURS</t>
        </is>
      </c>
    </row>
    <row r="11">
      <c r="A11" t="inlineStr">
        <is>
          <t xml:space="preserve">  Yellow  = input, enter with a source</t>
        </is>
      </c>
    </row>
    <row r="12">
      <c r="A12" t="inlineStr">
        <is>
          <t xml:space="preserve">  Orange  = ASSUMPTION with no primary source behind it — the honest label, not a value</t>
        </is>
      </c>
    </row>
    <row r="13">
      <c r="A13" t="inlineStr">
        <is>
          <t xml:space="preserve">  Green   = calculated, do not overtype</t>
        </is>
      </c>
    </row>
    <row r="14">
      <c r="A14" t="inlineStr"/>
    </row>
    <row r="15">
      <c r="A15" s="2" t="inlineStr">
        <is>
          <t>THE TWO NUMBERS THAT CARRY THE ANSWER</t>
        </is>
      </c>
    </row>
    <row r="16">
      <c r="A16" t="inlineStr">
        <is>
          <t>1. Contribution margin per ton-km. Not public at commodity level; ARTF's Anuario was</t>
        </is>
      </c>
    </row>
    <row r="17">
      <c r="A17" t="inlineStr">
        <is>
          <t xml:space="preserve">   unreachable. It is therefore SWEPT across a range on 'Breakeven', not assumed.</t>
        </is>
      </c>
    </row>
    <row r="18">
      <c r="A18" t="inlineStr">
        <is>
          <t>2. Track condition. Unknown since 2003 and unresolvable from a desk, so capital is</t>
        </is>
      </c>
    </row>
    <row r="19">
      <c r="A19" t="inlineStr">
        <is>
          <t xml:space="preserve">   presented as light / heavy / substantial reconstruction. If those straddle the</t>
        </is>
      </c>
    </row>
    <row r="20">
      <c r="A20" t="inlineStr">
        <is>
          <t xml:space="preserve">   breakeven threshold, STOP RULE 3 fires and the answer is INDETERMINATE.</t>
        </is>
      </c>
    </row>
    <row r="21">
      <c r="A21" t="inlineStr"/>
    </row>
    <row r="22">
      <c r="A22" s="2" t="inlineStr">
        <is>
          <t>O&amp;M CIRCULARITY</t>
        </is>
      </c>
    </row>
    <row r="23">
      <c r="A23" t="inlineStr">
        <is>
          <t>Track maintenance scales with gross passing tonnage, so O&amp;M depends on the tonnage</t>
        </is>
      </c>
    </row>
    <row r="24">
      <c r="A24" t="inlineStr">
        <is>
          <t>being solved for. Both revenue and variable O&amp;M are linear in tonnage, so the</t>
        </is>
      </c>
    </row>
    <row r="25">
      <c r="A25" t="inlineStr">
        <is>
          <t>circularity closes algebraically (see 'Breakeven' col A note) rather than by iteration.</t>
        </is>
      </c>
    </row>
    <row r="26">
      <c r="A26" t="inlineStr">
        <is>
          <t>If net contribution after track wear goes &lt;= 0, NO tonnage breaks even and the sheet</t>
        </is>
      </c>
    </row>
    <row r="27">
      <c r="A27" t="inlineStr">
        <is>
          <t>reports that instead of a large finite number.</t>
        </is>
      </c>
    </row>
    <row r="28">
      <c r="A28" t="inlineStr"/>
    </row>
    <row r="29">
      <c r="A29" s="2" t="inlineStr">
        <is>
          <t>CURRENCY</t>
        </is>
      </c>
    </row>
    <row r="30">
      <c r="A30" t="inlineStr">
        <is>
          <t>One base year, stated on 'Inputs'. MXN throughout. Any USD conversion states its rate</t>
        </is>
      </c>
    </row>
    <row r="31">
      <c r="A31" t="inlineStr">
        <is>
          <t>and date. Mixing nominal figures across years is risk R-10.</t>
        </is>
      </c>
    </row>
    <row r="32">
      <c r="A32" t="inlineStr"/>
    </row>
    <row r="33">
      <c r="A33" t="inlineStr">
        <is>
          <t>Regenerate: python3 analysis/scripts/build_breakeven_model.py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22" customWidth="1" min="3" max="3"/>
    <col width="26" customWidth="1" min="4" max="4"/>
    <col width="78" customWidth="1" min="5" max="5"/>
  </cols>
  <sheetData>
    <row r="1">
      <c r="A1" s="1" t="inlineStr">
        <is>
          <t>Inputs — single editable block</t>
        </is>
      </c>
    </row>
    <row r="2">
      <c r="A2" s="3" t="inlineStr">
        <is>
          <t>Every downstream sheet reads from here. Orange = assumption with no primary source.</t>
        </is>
      </c>
    </row>
    <row r="3">
      <c r="A3" s="4" t="inlineStr">
        <is>
          <t>Parameter</t>
        </is>
      </c>
      <c r="B3" s="4" t="inlineStr">
        <is>
          <t>Value</t>
        </is>
      </c>
      <c r="C3" s="4" t="inlineStr">
        <is>
          <t>Unit</t>
        </is>
      </c>
      <c r="D3" s="4" t="inlineStr">
        <is>
          <t>Source</t>
        </is>
      </c>
      <c r="E3" s="4" t="inlineStr">
        <is>
          <t>Notes</t>
        </is>
      </c>
    </row>
    <row r="4">
      <c r="A4" s="5" t="inlineStr">
        <is>
          <t>CORRIDOR</t>
        </is>
      </c>
      <c r="B4" s="6" t="n"/>
      <c r="C4" s="6" t="n"/>
      <c r="D4" s="6" t="n"/>
      <c r="E4" s="6" t="n"/>
      <c r="F4" s="6" t="n"/>
    </row>
    <row r="5">
      <c r="A5" t="inlineStr">
        <is>
          <t>Route length</t>
        </is>
      </c>
      <c r="B5" s="7" t="n">
        <v>216.5</v>
      </c>
      <c r="C5" t="inlineStr">
        <is>
          <t>km</t>
        </is>
      </c>
      <c r="D5" t="inlineStr">
        <is>
          <t>Prompt.md (to verify)</t>
        </is>
      </c>
      <c r="E5" s="3" t="inlineStr">
        <is>
          <t>km E-150+000 to E-367+000. Independent verification outstanding</t>
        </is>
      </c>
    </row>
    <row r="6">
      <c r="A6" s="5" t="inlineStr">
        <is>
          <t>CAPITAL — cost per route-km by track-condition scenario</t>
        </is>
      </c>
      <c r="B6" s="6" t="n"/>
      <c r="C6" s="6" t="n"/>
      <c r="D6" s="6" t="n"/>
      <c r="E6" s="6" t="n"/>
      <c r="F6" s="6" t="n"/>
    </row>
    <row r="7">
      <c r="A7" t="inlineStr">
        <is>
          <t>Light rehabilitation</t>
        </is>
      </c>
      <c r="B7" s="8" t="n">
        <v>6.9</v>
      </c>
      <c r="C7" t="inlineStr">
        <is>
          <t>MXN million / km</t>
        </is>
      </c>
      <c r="D7" t="inlineStr">
        <is>
          <t>wb-2020-serbia-railways-lcc T.11</t>
        </is>
      </c>
      <c r="E7" s="3" t="inlineStr">
        <is>
          <t>WB partial renewal (rail + ballast) 343/m @20 MXN/EUR. TRACK ONLY. Consistent with the UNESCAP &lt; USD 500,000/route-km figure the brief cites</t>
        </is>
      </c>
    </row>
    <row r="8">
      <c r="A8" t="inlineStr">
        <is>
          <t>Heavy rehabilitation</t>
        </is>
      </c>
      <c r="B8" s="8" t="n">
        <v>9.300000000000001</v>
      </c>
      <c r="C8" t="inlineStr">
        <is>
          <t>MXN million / km</t>
        </is>
      </c>
      <c r="D8" t="inlineStr">
        <is>
          <t>wb-2020-serbia-railways-lcc T.11</t>
        </is>
      </c>
      <c r="E8" s="3" t="inlineStr">
        <is>
          <t>WB partial renewal (rail + sleeper exchange) 463/m @20 MXN/EUR. TRACK ONLY</t>
        </is>
      </c>
    </row>
    <row r="9">
      <c r="A9" t="inlineStr">
        <is>
          <t>Substantial reconstruction</t>
        </is>
      </c>
      <c r="B9" s="8" t="n">
        <v>14.3</v>
      </c>
      <c r="C9" t="inlineStr">
        <is>
          <t>MXN million / km</t>
        </is>
      </c>
      <c r="D9" t="inlineStr">
        <is>
          <t>wb-2020-serbia-railways-lcc T.11</t>
        </is>
      </c>
      <c r="E9" s="3" t="inlineStr">
        <is>
          <t>WB general renewal + subsoil rehabilitation 716/m @20 MXN/EUR. TRACK ONLY. Currency NOT stated in the source; EUR assumed as the likelier of the two</t>
        </is>
      </c>
    </row>
    <row r="10">
      <c r="A10" t="inlineStr">
        <is>
          <t xml:space="preserve">  Mexican precedent (context, NOT a base case)</t>
        </is>
      </c>
      <c r="B10" s="9" t="n"/>
      <c r="D10" t="inlineStr">
        <is>
          <t>[PRESS — UNVERIFIED]</t>
        </is>
      </c>
      <c r="E10" s="3" t="inlineStr">
        <is>
          <t>Press reports ~18,000 MXN million on Línea Z rehabilitation (~300 km) =&gt; order ~60 MXN million/km, roughly an order of magnitude above the UNESCAP figure. ASF primary unreachable (JS app), DOF egress-blocked. Must NOT carry a conclusion.</t>
        </is>
      </c>
    </row>
    <row r="11">
      <c r="A11" s="5" t="inlineStr">
        <is>
          <t>CAPITAL — structures carried separately, per the brief</t>
        </is>
      </c>
      <c r="B11" s="6" t="n"/>
      <c r="C11" s="6" t="n"/>
      <c r="D11" s="6" t="n"/>
      <c r="E11" s="6" t="n"/>
      <c r="F11" s="6" t="n"/>
    </row>
    <row r="12">
      <c r="A12" t="inlineStr">
        <is>
          <t>Bridges / drainage / slope stabilisation — low</t>
        </is>
      </c>
      <c r="B12" s="10" t="n">
        <v>0</v>
      </c>
      <c r="C12" t="inlineStr">
        <is>
          <t>MXN million</t>
        </is>
      </c>
      <c r="D12" t="inlineStr">
        <is>
          <t>[UNSOURCED — SET 0]</t>
        </is>
      </c>
      <c r="E12" s="3" t="inlineStr">
        <is>
          <t>SET TO ZERO DELIBERATELY so the model computes a TRACK-ONLY LOWER BOUND. No public structure inventory is expected to exist for this line, and the World Bank unit costs above are track work only. Every result downstream is therefore an UNDERSTATEMENT of cost and an OVERSTATEMENT of viability. Replace with real figures before any decision</t>
        </is>
      </c>
    </row>
    <row r="13">
      <c r="A13" t="inlineStr">
        <is>
          <t>Bridges / drainage / slope stabilisation — high</t>
        </is>
      </c>
      <c r="B13" s="10" t="n">
        <v>0</v>
      </c>
      <c r="C13" t="inlineStr">
        <is>
          <t>MXN million</t>
        </is>
      </c>
      <c r="D13" t="inlineStr">
        <is>
          <t>[UNSOURCED — SET 0]</t>
        </is>
      </c>
      <c r="E13" s="3" t="inlineStr">
        <is>
          <t>Same. Material on this alignment: the Cañada sits where Sierra Madre Oriental and Sierra Madre del Sur folding converge, and CONANP already records slope instability, erosion and scour along the corridor's existing roads</t>
        </is>
      </c>
    </row>
    <row r="14">
      <c r="A14" s="5" t="inlineStr">
        <is>
          <t>FINANCE</t>
        </is>
      </c>
      <c r="B14" s="6" t="n"/>
      <c r="C14" s="6" t="n"/>
      <c r="D14" s="6" t="n"/>
      <c r="E14" s="6" t="n"/>
      <c r="F14" s="6" t="n"/>
    </row>
    <row r="15">
      <c r="A15" t="inlineStr">
        <is>
          <t>Asset life</t>
        </is>
      </c>
      <c r="B15" s="11" t="n">
        <v>30</v>
      </c>
      <c r="C15" t="inlineStr">
        <is>
          <t>years</t>
        </is>
      </c>
      <c r="D15" t="inlineStr">
        <is>
          <t>Prompt.md</t>
        </is>
      </c>
      <c r="E15" s="3" t="inlineStr"/>
    </row>
    <row r="16">
      <c r="A16" t="inlineStr">
        <is>
          <t>Cost of capital — case 1</t>
        </is>
      </c>
      <c r="B16" s="12" t="n">
        <v>0.05</v>
      </c>
      <c r="C16" t="inlineStr">
        <is>
          <t>% / yr</t>
        </is>
      </c>
      <c r="D16" t="inlineStr">
        <is>
          <t>Prompt.md</t>
        </is>
      </c>
      <c r="E16" s="3" t="inlineStr"/>
    </row>
    <row r="17">
      <c r="A17" t="inlineStr">
        <is>
          <t>Cost of capital — case 2</t>
        </is>
      </c>
      <c r="B17" s="12" t="n">
        <v>0.06</v>
      </c>
      <c r="C17" t="inlineStr">
        <is>
          <t>% / yr</t>
        </is>
      </c>
      <c r="D17" t="inlineStr">
        <is>
          <t>Prompt.md</t>
        </is>
      </c>
      <c r="E17" s="3" t="inlineStr"/>
    </row>
    <row r="18">
      <c r="A18" t="inlineStr">
        <is>
          <t>Cost of capital — case 3</t>
        </is>
      </c>
      <c r="B18" s="12" t="n">
        <v>0.08</v>
      </c>
      <c r="C18" t="inlineStr">
        <is>
          <t>% / yr</t>
        </is>
      </c>
      <c r="D18" t="inlineStr">
        <is>
          <t>Prompt.md</t>
        </is>
      </c>
      <c r="E18" s="3" t="inlineStr"/>
    </row>
    <row r="19">
      <c r="A19" s="5" t="inlineStr">
        <is>
          <t>OPERATING</t>
        </is>
      </c>
      <c r="B19" s="6" t="n"/>
      <c r="C19" s="6" t="n"/>
      <c r="D19" s="6" t="n"/>
      <c r="E19" s="6" t="n"/>
      <c r="F19" s="6" t="n"/>
    </row>
    <row r="20">
      <c r="A20" t="inlineStr">
        <is>
          <t>Fixed O&amp;M (tonnage-independent)</t>
        </is>
      </c>
      <c r="B20" s="13" t="n">
        <v>0</v>
      </c>
      <c r="C20" t="inlineStr">
        <is>
          <t>MXN million / yr</t>
        </is>
      </c>
      <c r="D20" t="inlineStr">
        <is>
          <t>set 0 — see note</t>
        </is>
      </c>
      <c r="E20" s="3" t="inlineStr">
        <is>
          <t>MUST be 0 on the ARTF EBIT margin basis: ARTF's cost base already includes network operation and maintenance. Non-zero here double-counts</t>
        </is>
      </c>
    </row>
    <row r="21">
      <c r="A21" t="inlineStr">
        <is>
          <t>Variable O&amp;M per gross ton-km</t>
        </is>
      </c>
      <c r="B21" s="14" t="n">
        <v>0</v>
      </c>
      <c r="C21" t="inlineStr">
        <is>
          <t>MXN / gross ton-km</t>
        </is>
      </c>
      <c r="D21" t="inlineStr">
        <is>
          <t>set 0 — see note</t>
        </is>
      </c>
      <c r="E21" s="3" t="inlineStr">
        <is>
          <t>Same reason. Track wear is already inside the 0.402 EBIT figure</t>
        </is>
      </c>
    </row>
    <row r="22">
      <c r="A22" t="inlineStr">
        <is>
          <t>Tare factor (gross / net tonnage)</t>
        </is>
      </c>
      <c r="B22" s="15" t="n">
        <v>0</v>
      </c>
      <c r="C22" t="inlineStr">
        <is>
          <t>ratio</t>
        </is>
      </c>
      <c r="D22" t="inlineStr">
        <is>
          <t>set 0 — see note</t>
        </is>
      </c>
      <c r="E22" s="3" t="inlineStr">
        <is>
          <t>Unused on the EBIT basis, since variable O&amp;M is 0</t>
        </is>
      </c>
    </row>
    <row r="23">
      <c r="A23" s="5" t="inlineStr">
        <is>
          <t>REVENUE</t>
        </is>
      </c>
      <c r="B23" s="6" t="n"/>
      <c r="C23" s="6" t="n"/>
      <c r="D23" s="6" t="n"/>
      <c r="E23" s="6" t="n"/>
      <c r="F23" s="6" t="n"/>
    </row>
    <row r="24">
      <c r="A24" t="inlineStr">
        <is>
          <t>Contribution margin per net ton-km</t>
        </is>
      </c>
      <c r="B24" s="16" t="n">
        <v>0.402</v>
      </c>
      <c r="C24" t="inlineStr">
        <is>
          <t>MXN / net ton-km</t>
        </is>
      </c>
      <c r="D24" t="inlineStr">
        <is>
          <t>artf-2024-anuario-ferroviario</t>
        </is>
      </c>
      <c r="E24" s="3" t="inlineStr">
        <is>
          <t>Ferrosur EBIT/ton-km, constant 2024 MXN: $0.93 revenue (Tabla 7-8) x 43.19% operating margin (Tablas 7-3, 7.7). ARTF's cost base ALREADY includes maintenance and D&amp;A, so B21 and B20 must be 0 when using this basis or maintenance is double-counted. Swept 0.402-0.93 on 'Supportable'. See working/margin-derivation.md</t>
        </is>
      </c>
    </row>
    <row r="25">
      <c r="A25" s="5" t="inlineStr">
        <is>
          <t>CONVENTIONS AND CONVERSION</t>
        </is>
      </c>
      <c r="B25" s="6" t="n"/>
      <c r="C25" s="6" t="n"/>
      <c r="D25" s="6" t="n"/>
      <c r="E25" s="6" t="n"/>
      <c r="F25" s="6" t="n"/>
    </row>
    <row r="26">
      <c r="A26" t="inlineStr">
        <is>
          <t>MXN / USD rate</t>
        </is>
      </c>
      <c r="B26" s="8" t="n">
        <v>18.5</v>
      </c>
      <c r="C26" t="inlineStr">
        <is>
          <t>MXN per USD</t>
        </is>
      </c>
      <c r="D26" t="inlineStr">
        <is>
          <t>[ASSUMED]</t>
        </is>
      </c>
      <c r="E26" s="3" t="inlineStr">
        <is>
          <t>State the rate AND its date. Required before any USD benchmark is used</t>
        </is>
      </c>
    </row>
    <row r="27">
      <c r="A27" t="inlineStr">
        <is>
          <t>FX rate date</t>
        </is>
      </c>
      <c r="B27" s="9" t="inlineStr">
        <is>
          <t>NOT SET — must be stated before use</t>
        </is>
      </c>
      <c r="C27" t="inlineStr">
        <is>
          <t>date</t>
        </is>
      </c>
      <c r="D27" t="inlineStr">
        <is>
          <t>[REQUIRED]</t>
        </is>
      </c>
      <c r="E27" s="3" t="inlineStr">
        <is>
          <t>An FX rate without its date is not a source</t>
        </is>
      </c>
    </row>
    <row r="28">
      <c r="A28" t="inlineStr">
        <is>
          <t>Deflation base year (INEGI INPC)</t>
        </is>
      </c>
      <c r="B28" s="11" t="n">
        <v>2024</v>
      </c>
      <c r="C28" t="inlineStr">
        <is>
          <t>yyyy</t>
        </is>
      </c>
      <c r="D28" t="inlineStr">
        <is>
          <t>artf-2024-anuario</t>
        </is>
      </c>
      <c r="E28" s="3" t="inlineStr">
        <is>
          <t>All money figures real in this year. Never mix nominal across years</t>
        </is>
      </c>
    </row>
    <row r="29">
      <c r="A29" s="5" t="inlineStr">
        <is>
          <t>ROAD COMPARISON</t>
        </is>
      </c>
      <c r="B29" s="6" t="n"/>
      <c r="C29" s="6" t="n"/>
      <c r="D29" s="6" t="n"/>
      <c r="E29" s="6" t="n"/>
      <c r="F29" s="6" t="n"/>
    </row>
    <row r="30">
      <c r="A30" t="inlineStr">
        <is>
          <t>Payload per articulated vehicle</t>
        </is>
      </c>
      <c r="B30" s="7" t="n">
        <v>19.1</v>
      </c>
      <c r="C30" t="inlineStr">
        <is>
          <t>tonnes</t>
        </is>
      </c>
      <c r="D30" t="inlineStr">
        <is>
          <t>imt-pt179 Tabla 4.7</t>
        </is>
      </c>
      <c r="E30" s="3" t="inlineStr">
        <is>
          <t>Weighted mean of IMT carga promedio (T3S2 13.2, T3S3 20.9, T3S2R4 30.1) at the observed terminus class mix. PRIMARY, but 2001 data — STALE</t>
        </is>
      </c>
    </row>
    <row r="31">
      <c r="A31" t="inlineStr">
        <is>
          <t>Empty-running share</t>
        </is>
      </c>
      <c r="B31" s="17" t="n">
        <v>0</v>
      </c>
      <c r="C31" t="inlineStr">
        <is>
          <t>fraction</t>
        </is>
      </c>
      <c r="D31" t="inlineStr">
        <is>
          <t>set 0 — see note</t>
        </is>
      </c>
      <c r="E31" s="3" t="inlineStr">
        <is>
          <t>MUST be 0 with the IMT payload above: carga promedio is averaged across observed vehicles and ALREADY nets out empty and partial running. A further discount double-counts</t>
        </is>
      </c>
    </row>
    <row r="32">
      <c r="A32" t="inlineStr">
        <is>
          <t>Observed articulated veh/day at corridor terminus</t>
        </is>
      </c>
      <c r="B32" s="11" t="n">
        <v>500</v>
      </c>
      <c r="C32" t="inlineStr">
        <is>
          <t>veh/day, both dirs</t>
        </is>
      </c>
      <c r="D32" t="inlineStr">
        <is>
          <t>sct-2025-datosviales-oaxaca</t>
        </is>
      </c>
      <c r="E32" s="3" t="inlineStr">
        <is>
          <t>SR-2 bound: endpoint flow N of Oaxaca City. See working/sr2-evaluation.md</t>
        </is>
      </c>
    </row>
    <row r="33">
      <c r="A33" t="inlineStr">
        <is>
          <t>Variable O&amp;M — set 0 on the EBIT margin basis</t>
        </is>
      </c>
      <c r="B33" s="14" t="n">
        <v>0</v>
      </c>
      <c r="C33" t="inlineStr">
        <is>
          <t>MXN / gross ton-km</t>
        </is>
      </c>
      <c r="D33" t="inlineStr">
        <is>
          <t>see note</t>
        </is>
      </c>
      <c r="E33" s="3" t="inlineStr">
        <is>
          <t>Guard against double-counting; overrides B21 conceptually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0" customWidth="1" min="1" max="1"/>
    <col width="20" customWidth="1" min="2" max="2"/>
    <col width="18" customWidth="1" min="3" max="3"/>
    <col width="20" customWidth="1" min="4" max="4"/>
    <col width="20" customWidth="1" min="5" max="5"/>
    <col width="18" customWidth="1" min="6" max="6"/>
    <col width="18" customWidth="1" min="7" max="7"/>
  </cols>
  <sheetData>
    <row r="1">
      <c r="A1" s="1" t="inlineStr">
        <is>
          <t>Capital cost band</t>
        </is>
      </c>
    </row>
    <row r="2">
      <c r="A2" s="3" t="inlineStr">
        <is>
          <t>Track condition is unknown since 2003 and cannot be resolved from a desk, so capital is bounded by scenario rather than assumed to a base case.</t>
        </is>
      </c>
    </row>
    <row r="4">
      <c r="A4" s="4" t="inlineStr">
        <is>
          <t>Scenario</t>
        </is>
      </c>
      <c r="B4" s="4" t="inlineStr">
        <is>
          <t>Cost per km (MXN m)</t>
        </is>
      </c>
      <c r="C4" s="4" t="inlineStr">
        <is>
          <t>Linework (MXN m)</t>
        </is>
      </c>
      <c r="D4" s="4" t="inlineStr">
        <is>
          <t>Structures low (MXN m)</t>
        </is>
      </c>
      <c r="E4" s="4" t="inlineStr">
        <is>
          <t>Structures high (MXN m)</t>
        </is>
      </c>
      <c r="F4" s="4" t="inlineStr">
        <is>
          <t>TOTAL low (MXN m)</t>
        </is>
      </c>
      <c r="G4" s="4" t="inlineStr">
        <is>
          <t>TOTAL high (MXN m)</t>
        </is>
      </c>
    </row>
    <row r="5">
      <c r="A5" t="inlineStr">
        <is>
          <t>Light rehabilitation</t>
        </is>
      </c>
      <c r="B5" s="8">
        <f>Inputs!B7</f>
        <v/>
      </c>
      <c r="C5" s="13">
        <f>IF(OR(B5="",Inputs!$B$5=""),"",B5*Inputs!$B$5)</f>
        <v/>
      </c>
      <c r="D5" s="13">
        <f>Inputs!$B$12</f>
        <v/>
      </c>
      <c r="E5" s="13">
        <f>Inputs!$B$13</f>
        <v/>
      </c>
      <c r="F5" s="13">
        <f>IF(OR(C5="",D5=""),"",C5+D5)</f>
        <v/>
      </c>
      <c r="G5" s="13">
        <f>IF(OR(C5="",E5=""),"",C5+E5)</f>
        <v/>
      </c>
    </row>
    <row r="6">
      <c r="A6" t="inlineStr">
        <is>
          <t>Heavy rehabilitation</t>
        </is>
      </c>
      <c r="B6" s="8">
        <f>Inputs!B8</f>
        <v/>
      </c>
      <c r="C6" s="13">
        <f>IF(OR(B6="",Inputs!$B$5=""),"",B6*Inputs!$B$5)</f>
        <v/>
      </c>
      <c r="D6" s="13">
        <f>Inputs!$B$12</f>
        <v/>
      </c>
      <c r="E6" s="13">
        <f>Inputs!$B$13</f>
        <v/>
      </c>
      <c r="F6" s="13">
        <f>IF(OR(C6="",D6=""),"",C6+D6)</f>
        <v/>
      </c>
      <c r="G6" s="13">
        <f>IF(OR(C6="",E6=""),"",C6+E6)</f>
        <v/>
      </c>
    </row>
    <row r="7">
      <c r="A7" t="inlineStr">
        <is>
          <t>Substantial reconstruction</t>
        </is>
      </c>
      <c r="B7" s="8">
        <f>Inputs!B9</f>
        <v/>
      </c>
      <c r="C7" s="13">
        <f>IF(OR(B7="",Inputs!$B$5=""),"",B7*Inputs!$B$5)</f>
        <v/>
      </c>
      <c r="D7" s="13">
        <f>Inputs!$B$12</f>
        <v/>
      </c>
      <c r="E7" s="13">
        <f>Inputs!$B$13</f>
        <v/>
      </c>
      <c r="F7" s="13">
        <f>IF(OR(C7="",D7=""),"",C7+D7)</f>
        <v/>
      </c>
      <c r="G7" s="13">
        <f>IF(OR(C7="",E7=""),"",C7+E7)</f>
        <v/>
      </c>
    </row>
    <row r="9">
      <c r="A9" s="3" t="inlineStr">
        <is>
          <t>Structures (bridges, drainage, slope stabilisation) are shown as their own range, not folded into a contingency percentage — they are the dominant uncertainty on this alignment and no public structure inventory is expected.</t>
        </is>
      </c>
    </row>
    <row r="10">
      <c r="A10" s="3" t="inlineStr">
        <is>
          <t>The Cañada de Cuicatlán sits where Sierra Madre Oriental and Sierra Madre del Sur folding converge; documented rainy-season suspension implies scour and slope exposure at water crossings.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pane ySplit="7" topLeftCell="A8" activePane="bottomLeft" state="frozen"/>
      <selection pane="bottomLeft" activeCell="A1" sqref="A1"/>
    </sheetView>
  </sheetViews>
  <sheetFormatPr baseColWidth="8" defaultRowHeight="15"/>
  <cols>
    <col width="32" customWidth="1" min="1" max="1"/>
    <col width="18" customWidth="1" min="2" max="2"/>
    <col width="15" customWidth="1" min="3" max="3"/>
    <col width="22" customWidth="1" min="4" max="4"/>
    <col width="18" customWidth="1" min="5" max="5"/>
    <col width="24" customWidth="1" min="6" max="6"/>
    <col width="26" customWidth="1" min="7" max="7"/>
  </cols>
  <sheetData>
    <row r="1">
      <c r="A1" s="1" t="inlineStr">
        <is>
          <t>Breakeven tonnage back-solve</t>
        </is>
      </c>
    </row>
    <row r="2">
      <c r="A2" s="3" t="inlineStr">
        <is>
          <t>T = (AnnualCapital + FixedOM) / ( L × ( margin − varOM × (1+tare) ) ).  Closed form: revenue and variable O&amp;M are both linear in tonnage, so the O&amp;M circularity resolves algebraically rather than by iteration.</t>
        </is>
      </c>
    </row>
    <row r="3">
      <c r="A3" s="18" t="inlineStr">
        <is>
          <t>If margin − varOM×(1+tare) ≤ 0 the line loses money on every incremental tonne and NO tonnage breaks even. The sheet says so rather than returning a number.</t>
        </is>
      </c>
    </row>
    <row r="5">
      <c r="A5" s="2" t="inlineStr">
        <is>
          <t>Net contribution per net ton-km after track wear</t>
        </is>
      </c>
      <c r="B5" s="14">
        <f>IF(OR(Inputs!B24="",Inputs!B21="",Inputs!B22=""),"",Inputs!B24-Inputs!B21*(1+Inputs!B22))</f>
        <v/>
      </c>
      <c r="C5" t="inlineStr">
        <is>
          <t>MXN / net ton-km</t>
        </is>
      </c>
      <c r="D5" s="2">
        <f>IF(B5="","pending margin + O&amp;M inputs",IF(B5&lt;=0,"NO TONNAGE BREAKS EVEN — track wear exceeds margin","positive contribution"))</f>
        <v/>
      </c>
    </row>
    <row r="7">
      <c r="A7" s="4" t="inlineStr">
        <is>
          <t>Capital scenario</t>
        </is>
      </c>
      <c r="B7" s="4" t="inlineStr">
        <is>
          <t>Capital (MXN m)</t>
        </is>
      </c>
      <c r="C7" s="4" t="inlineStr">
        <is>
          <t>Cost of capital</t>
        </is>
      </c>
      <c r="D7" s="4" t="inlineStr">
        <is>
          <t>Annualised capital (MXN m/yr)</t>
        </is>
      </c>
      <c r="E7" s="4" t="inlineStr">
        <is>
          <t>Fixed O&amp;M (MXN m/yr)</t>
        </is>
      </c>
      <c r="F7" s="4" t="inlineStr">
        <is>
          <t>BREAKEVEN tonnage (net t/yr)</t>
        </is>
      </c>
      <c r="G7" s="4" t="inlineStr">
        <is>
          <t>Loaded truckloads/day each way</t>
        </is>
      </c>
    </row>
    <row r="8">
      <c r="A8" t="inlineStr">
        <is>
          <t>Light rehab (low structures)</t>
        </is>
      </c>
      <c r="B8" s="13">
        <f>Capital!F5</f>
        <v/>
      </c>
      <c r="C8" s="17">
        <f>Inputs!$B$16</f>
        <v/>
      </c>
      <c r="D8" s="13">
        <f>IF(OR(B8="",C8="",Inputs!$B$15=""),"",-PMT(C8,Inputs!$B$15,B8))</f>
        <v/>
      </c>
      <c r="E8" s="13">
        <f>Inputs!$B$20</f>
        <v/>
      </c>
      <c r="F8" s="19">
        <f>IF(OR(D8="",E8="",$B$5="",$B$5&lt;=0,Inputs!$B$5=""),"",(D8+E8)*1000000/(Inputs!$B$5*$B$5))</f>
        <v/>
      </c>
      <c r="G8" s="19">
        <f>IF(OR(F8="",Inputs!$B$30="",Inputs!$B$30=0),"",F8/(Inputs!$B$30*365*2))</f>
        <v/>
      </c>
    </row>
    <row r="9">
      <c r="A9" t="inlineStr">
        <is>
          <t>Light rehab (low structures)</t>
        </is>
      </c>
      <c r="B9" s="13">
        <f>Capital!F5</f>
        <v/>
      </c>
      <c r="C9" s="17">
        <f>Inputs!$B$17</f>
        <v/>
      </c>
      <c r="D9" s="13">
        <f>IF(OR(B9="",C9="",Inputs!$B$15=""),"",-PMT(C9,Inputs!$B$15,B9))</f>
        <v/>
      </c>
      <c r="E9" s="13">
        <f>Inputs!$B$20</f>
        <v/>
      </c>
      <c r="F9" s="19">
        <f>IF(OR(D9="",E9="",$B$5="",$B$5&lt;=0,Inputs!$B$5=""),"",(D9+E9)*1000000/(Inputs!$B$5*$B$5))</f>
        <v/>
      </c>
      <c r="G9" s="19">
        <f>IF(OR(F9="",Inputs!$B$30="",Inputs!$B$30=0),"",F9/(Inputs!$B$30*365*2))</f>
        <v/>
      </c>
    </row>
    <row r="10">
      <c r="A10" t="inlineStr">
        <is>
          <t>Light rehab (low structures)</t>
        </is>
      </c>
      <c r="B10" s="13">
        <f>Capital!F5</f>
        <v/>
      </c>
      <c r="C10" s="17">
        <f>Inputs!$B$18</f>
        <v/>
      </c>
      <c r="D10" s="13">
        <f>IF(OR(B10="",C10="",Inputs!$B$15=""),"",-PMT(C10,Inputs!$B$15,B10))</f>
        <v/>
      </c>
      <c r="E10" s="13">
        <f>Inputs!$B$20</f>
        <v/>
      </c>
      <c r="F10" s="19">
        <f>IF(OR(D10="",E10="",$B$5="",$B$5&lt;=0,Inputs!$B$5=""),"",(D10+E10)*1000000/(Inputs!$B$5*$B$5))</f>
        <v/>
      </c>
      <c r="G10" s="19">
        <f>IF(OR(F10="",Inputs!$B$30="",Inputs!$B$30=0),"",F10/(Inputs!$B$30*365*2))</f>
        <v/>
      </c>
    </row>
    <row r="11">
      <c r="A11" t="inlineStr">
        <is>
          <t>Light rehab (high structures)</t>
        </is>
      </c>
      <c r="B11" s="13">
        <f>Capital!G5</f>
        <v/>
      </c>
      <c r="C11" s="17">
        <f>Inputs!$B$16</f>
        <v/>
      </c>
      <c r="D11" s="13">
        <f>IF(OR(B11="",C11="",Inputs!$B$15=""),"",-PMT(C11,Inputs!$B$15,B11))</f>
        <v/>
      </c>
      <c r="E11" s="13">
        <f>Inputs!$B$20</f>
        <v/>
      </c>
      <c r="F11" s="19">
        <f>IF(OR(D11="",E11="",$B$5="",$B$5&lt;=0,Inputs!$B$5=""),"",(D11+E11)*1000000/(Inputs!$B$5*$B$5))</f>
        <v/>
      </c>
      <c r="G11" s="19">
        <f>IF(OR(F11="",Inputs!$B$30="",Inputs!$B$30=0),"",F11/(Inputs!$B$30*365*2))</f>
        <v/>
      </c>
    </row>
    <row r="12">
      <c r="A12" t="inlineStr">
        <is>
          <t>Light rehab (high structures)</t>
        </is>
      </c>
      <c r="B12" s="13">
        <f>Capital!G5</f>
        <v/>
      </c>
      <c r="C12" s="17">
        <f>Inputs!$B$17</f>
        <v/>
      </c>
      <c r="D12" s="13">
        <f>IF(OR(B12="",C12="",Inputs!$B$15=""),"",-PMT(C12,Inputs!$B$15,B12))</f>
        <v/>
      </c>
      <c r="E12" s="13">
        <f>Inputs!$B$20</f>
        <v/>
      </c>
      <c r="F12" s="19">
        <f>IF(OR(D12="",E12="",$B$5="",$B$5&lt;=0,Inputs!$B$5=""),"",(D12+E12)*1000000/(Inputs!$B$5*$B$5))</f>
        <v/>
      </c>
      <c r="G12" s="19">
        <f>IF(OR(F12="",Inputs!$B$30="",Inputs!$B$30=0),"",F12/(Inputs!$B$30*365*2))</f>
        <v/>
      </c>
    </row>
    <row r="13">
      <c r="A13" t="inlineStr">
        <is>
          <t>Light rehab (high structures)</t>
        </is>
      </c>
      <c r="B13" s="13">
        <f>Capital!G5</f>
        <v/>
      </c>
      <c r="C13" s="17">
        <f>Inputs!$B$18</f>
        <v/>
      </c>
      <c r="D13" s="13">
        <f>IF(OR(B13="",C13="",Inputs!$B$15=""),"",-PMT(C13,Inputs!$B$15,B13))</f>
        <v/>
      </c>
      <c r="E13" s="13">
        <f>Inputs!$B$20</f>
        <v/>
      </c>
      <c r="F13" s="19">
        <f>IF(OR(D13="",E13="",$B$5="",$B$5&lt;=0,Inputs!$B$5=""),"",(D13+E13)*1000000/(Inputs!$B$5*$B$5))</f>
        <v/>
      </c>
      <c r="G13" s="19">
        <f>IF(OR(F13="",Inputs!$B$30="",Inputs!$B$30=0),"",F13/(Inputs!$B$30*365*2))</f>
        <v/>
      </c>
    </row>
    <row r="14">
      <c r="A14" t="inlineStr">
        <is>
          <t>Heavy rehab (low structures)</t>
        </is>
      </c>
      <c r="B14" s="13">
        <f>Capital!F6</f>
        <v/>
      </c>
      <c r="C14" s="17">
        <f>Inputs!$B$16</f>
        <v/>
      </c>
      <c r="D14" s="13">
        <f>IF(OR(B14="",C14="",Inputs!$B$15=""),"",-PMT(C14,Inputs!$B$15,B14))</f>
        <v/>
      </c>
      <c r="E14" s="13">
        <f>Inputs!$B$20</f>
        <v/>
      </c>
      <c r="F14" s="19">
        <f>IF(OR(D14="",E14="",$B$5="",$B$5&lt;=0,Inputs!$B$5=""),"",(D14+E14)*1000000/(Inputs!$B$5*$B$5))</f>
        <v/>
      </c>
      <c r="G14" s="19">
        <f>IF(OR(F14="",Inputs!$B$30="",Inputs!$B$30=0),"",F14/(Inputs!$B$30*365*2))</f>
        <v/>
      </c>
    </row>
    <row r="15">
      <c r="A15" t="inlineStr">
        <is>
          <t>Heavy rehab (low structures)</t>
        </is>
      </c>
      <c r="B15" s="13">
        <f>Capital!F6</f>
        <v/>
      </c>
      <c r="C15" s="17">
        <f>Inputs!$B$17</f>
        <v/>
      </c>
      <c r="D15" s="13">
        <f>IF(OR(B15="",C15="",Inputs!$B$15=""),"",-PMT(C15,Inputs!$B$15,B15))</f>
        <v/>
      </c>
      <c r="E15" s="13">
        <f>Inputs!$B$20</f>
        <v/>
      </c>
      <c r="F15" s="19">
        <f>IF(OR(D15="",E15="",$B$5="",$B$5&lt;=0,Inputs!$B$5=""),"",(D15+E15)*1000000/(Inputs!$B$5*$B$5))</f>
        <v/>
      </c>
      <c r="G15" s="19">
        <f>IF(OR(F15="",Inputs!$B$30="",Inputs!$B$30=0),"",F15/(Inputs!$B$30*365*2))</f>
        <v/>
      </c>
    </row>
    <row r="16">
      <c r="A16" t="inlineStr">
        <is>
          <t>Heavy rehab (low structures)</t>
        </is>
      </c>
      <c r="B16" s="13">
        <f>Capital!F6</f>
        <v/>
      </c>
      <c r="C16" s="17">
        <f>Inputs!$B$18</f>
        <v/>
      </c>
      <c r="D16" s="13">
        <f>IF(OR(B16="",C16="",Inputs!$B$15=""),"",-PMT(C16,Inputs!$B$15,B16))</f>
        <v/>
      </c>
      <c r="E16" s="13">
        <f>Inputs!$B$20</f>
        <v/>
      </c>
      <c r="F16" s="19">
        <f>IF(OR(D16="",E16="",$B$5="",$B$5&lt;=0,Inputs!$B$5=""),"",(D16+E16)*1000000/(Inputs!$B$5*$B$5))</f>
        <v/>
      </c>
      <c r="G16" s="19">
        <f>IF(OR(F16="",Inputs!$B$30="",Inputs!$B$30=0),"",F16/(Inputs!$B$30*365*2))</f>
        <v/>
      </c>
    </row>
    <row r="17">
      <c r="A17" t="inlineStr">
        <is>
          <t>Heavy rehab (high structures)</t>
        </is>
      </c>
      <c r="B17" s="13">
        <f>Capital!G6</f>
        <v/>
      </c>
      <c r="C17" s="17">
        <f>Inputs!$B$16</f>
        <v/>
      </c>
      <c r="D17" s="13">
        <f>IF(OR(B17="",C17="",Inputs!$B$15=""),"",-PMT(C17,Inputs!$B$15,B17))</f>
        <v/>
      </c>
      <c r="E17" s="13">
        <f>Inputs!$B$20</f>
        <v/>
      </c>
      <c r="F17" s="19">
        <f>IF(OR(D17="",E17="",$B$5="",$B$5&lt;=0,Inputs!$B$5=""),"",(D17+E17)*1000000/(Inputs!$B$5*$B$5))</f>
        <v/>
      </c>
      <c r="G17" s="19">
        <f>IF(OR(F17="",Inputs!$B$30="",Inputs!$B$30=0),"",F17/(Inputs!$B$30*365*2))</f>
        <v/>
      </c>
    </row>
    <row r="18">
      <c r="A18" t="inlineStr">
        <is>
          <t>Heavy rehab (high structures)</t>
        </is>
      </c>
      <c r="B18" s="13">
        <f>Capital!G6</f>
        <v/>
      </c>
      <c r="C18" s="17">
        <f>Inputs!$B$17</f>
        <v/>
      </c>
      <c r="D18" s="13">
        <f>IF(OR(B18="",C18="",Inputs!$B$15=""),"",-PMT(C18,Inputs!$B$15,B18))</f>
        <v/>
      </c>
      <c r="E18" s="13">
        <f>Inputs!$B$20</f>
        <v/>
      </c>
      <c r="F18" s="19">
        <f>IF(OR(D18="",E18="",$B$5="",$B$5&lt;=0,Inputs!$B$5=""),"",(D18+E18)*1000000/(Inputs!$B$5*$B$5))</f>
        <v/>
      </c>
      <c r="G18" s="19">
        <f>IF(OR(F18="",Inputs!$B$30="",Inputs!$B$30=0),"",F18/(Inputs!$B$30*365*2))</f>
        <v/>
      </c>
    </row>
    <row r="19">
      <c r="A19" t="inlineStr">
        <is>
          <t>Heavy rehab (high structures)</t>
        </is>
      </c>
      <c r="B19" s="13">
        <f>Capital!G6</f>
        <v/>
      </c>
      <c r="C19" s="17">
        <f>Inputs!$B$18</f>
        <v/>
      </c>
      <c r="D19" s="13">
        <f>IF(OR(B19="",C19="",Inputs!$B$15=""),"",-PMT(C19,Inputs!$B$15,B19))</f>
        <v/>
      </c>
      <c r="E19" s="13">
        <f>Inputs!$B$20</f>
        <v/>
      </c>
      <c r="F19" s="19">
        <f>IF(OR(D19="",E19="",$B$5="",$B$5&lt;=0,Inputs!$B$5=""),"",(D19+E19)*1000000/(Inputs!$B$5*$B$5))</f>
        <v/>
      </c>
      <c r="G19" s="19">
        <f>IF(OR(F19="",Inputs!$B$30="",Inputs!$B$30=0),"",F19/(Inputs!$B$30*365*2))</f>
        <v/>
      </c>
    </row>
    <row r="20">
      <c r="A20" t="inlineStr">
        <is>
          <t>Substantial recon (low struct.)</t>
        </is>
      </c>
      <c r="B20" s="13">
        <f>Capital!F7</f>
        <v/>
      </c>
      <c r="C20" s="17">
        <f>Inputs!$B$16</f>
        <v/>
      </c>
      <c r="D20" s="13">
        <f>IF(OR(B20="",C20="",Inputs!$B$15=""),"",-PMT(C20,Inputs!$B$15,B20))</f>
        <v/>
      </c>
      <c r="E20" s="13">
        <f>Inputs!$B$20</f>
        <v/>
      </c>
      <c r="F20" s="19">
        <f>IF(OR(D20="",E20="",$B$5="",$B$5&lt;=0,Inputs!$B$5=""),"",(D20+E20)*1000000/(Inputs!$B$5*$B$5))</f>
        <v/>
      </c>
      <c r="G20" s="19">
        <f>IF(OR(F20="",Inputs!$B$30="",Inputs!$B$30=0),"",F20/(Inputs!$B$30*365*2))</f>
        <v/>
      </c>
    </row>
    <row r="21">
      <c r="A21" t="inlineStr">
        <is>
          <t>Substantial recon (low struct.)</t>
        </is>
      </c>
      <c r="B21" s="13">
        <f>Capital!F7</f>
        <v/>
      </c>
      <c r="C21" s="17">
        <f>Inputs!$B$17</f>
        <v/>
      </c>
      <c r="D21" s="13">
        <f>IF(OR(B21="",C21="",Inputs!$B$15=""),"",-PMT(C21,Inputs!$B$15,B21))</f>
        <v/>
      </c>
      <c r="E21" s="13">
        <f>Inputs!$B$20</f>
        <v/>
      </c>
      <c r="F21" s="19">
        <f>IF(OR(D21="",E21="",$B$5="",$B$5&lt;=0,Inputs!$B$5=""),"",(D21+E21)*1000000/(Inputs!$B$5*$B$5))</f>
        <v/>
      </c>
      <c r="G21" s="19">
        <f>IF(OR(F21="",Inputs!$B$30="",Inputs!$B$30=0),"",F21/(Inputs!$B$30*365*2))</f>
        <v/>
      </c>
    </row>
    <row r="22">
      <c r="A22" t="inlineStr">
        <is>
          <t>Substantial recon (low struct.)</t>
        </is>
      </c>
      <c r="B22" s="13">
        <f>Capital!F7</f>
        <v/>
      </c>
      <c r="C22" s="17">
        <f>Inputs!$B$18</f>
        <v/>
      </c>
      <c r="D22" s="13">
        <f>IF(OR(B22="",C22="",Inputs!$B$15=""),"",-PMT(C22,Inputs!$B$15,B22))</f>
        <v/>
      </c>
      <c r="E22" s="13">
        <f>Inputs!$B$20</f>
        <v/>
      </c>
      <c r="F22" s="19">
        <f>IF(OR(D22="",E22="",$B$5="",$B$5&lt;=0,Inputs!$B$5=""),"",(D22+E22)*1000000/(Inputs!$B$5*$B$5))</f>
        <v/>
      </c>
      <c r="G22" s="19">
        <f>IF(OR(F22="",Inputs!$B$30="",Inputs!$B$30=0),"",F22/(Inputs!$B$30*365*2))</f>
        <v/>
      </c>
    </row>
    <row r="23">
      <c r="A23" t="inlineStr">
        <is>
          <t>Substantial recon (high struct.)</t>
        </is>
      </c>
      <c r="B23" s="13">
        <f>Capital!G7</f>
        <v/>
      </c>
      <c r="C23" s="17">
        <f>Inputs!$B$16</f>
        <v/>
      </c>
      <c r="D23" s="13">
        <f>IF(OR(B23="",C23="",Inputs!$B$15=""),"",-PMT(C23,Inputs!$B$15,B23))</f>
        <v/>
      </c>
      <c r="E23" s="13">
        <f>Inputs!$B$20</f>
        <v/>
      </c>
      <c r="F23" s="19">
        <f>IF(OR(D23="",E23="",$B$5="",$B$5&lt;=0,Inputs!$B$5=""),"",(D23+E23)*1000000/(Inputs!$B$5*$B$5))</f>
        <v/>
      </c>
      <c r="G23" s="19">
        <f>IF(OR(F23="",Inputs!$B$30="",Inputs!$B$30=0),"",F23/(Inputs!$B$30*365*2))</f>
        <v/>
      </c>
    </row>
    <row r="24">
      <c r="A24" t="inlineStr">
        <is>
          <t>Substantial recon (high struct.)</t>
        </is>
      </c>
      <c r="B24" s="13">
        <f>Capital!G7</f>
        <v/>
      </c>
      <c r="C24" s="17">
        <f>Inputs!$B$17</f>
        <v/>
      </c>
      <c r="D24" s="13">
        <f>IF(OR(B24="",C24="",Inputs!$B$15=""),"",-PMT(C24,Inputs!$B$15,B24))</f>
        <v/>
      </c>
      <c r="E24" s="13">
        <f>Inputs!$B$20</f>
        <v/>
      </c>
      <c r="F24" s="19">
        <f>IF(OR(D24="",E24="",$B$5="",$B$5&lt;=0,Inputs!$B$5=""),"",(D24+E24)*1000000/(Inputs!$B$5*$B$5))</f>
        <v/>
      </c>
      <c r="G24" s="19">
        <f>IF(OR(F24="",Inputs!$B$30="",Inputs!$B$30=0),"",F24/(Inputs!$B$30*365*2))</f>
        <v/>
      </c>
    </row>
    <row r="25">
      <c r="A25" t="inlineStr">
        <is>
          <t>Substantial recon (high struct.)</t>
        </is>
      </c>
      <c r="B25" s="13">
        <f>Capital!G7</f>
        <v/>
      </c>
      <c r="C25" s="17">
        <f>Inputs!$B$18</f>
        <v/>
      </c>
      <c r="D25" s="13">
        <f>IF(OR(B25="",C25="",Inputs!$B$15=""),"",-PMT(C25,Inputs!$B$15,B25))</f>
        <v/>
      </c>
      <c r="E25" s="13">
        <f>Inputs!$B$20</f>
        <v/>
      </c>
      <c r="F25" s="19">
        <f>IF(OR(D25="",E25="",$B$5="",$B$5&lt;=0,Inputs!$B$5=""),"",(D25+E25)*1000000/(Inputs!$B$5*$B$5))</f>
        <v/>
      </c>
      <c r="G25" s="19">
        <f>IF(OR(F25="",Inputs!$B$30="",Inputs!$B$30=0),"",F25/(Inputs!$B$30*365*2))</f>
        <v/>
      </c>
    </row>
    <row r="27">
      <c r="A27" s="2" t="inlineStr">
        <is>
          <t>STOP RULE 3 — does the answer flip across track-condition scenarios?</t>
        </is>
      </c>
    </row>
    <row r="28">
      <c r="A28" s="3" t="inlineStr">
        <is>
          <t>Compare the breakeven range above against divertible tonnage on 'Compare'. If the project clears under light rehabilitation and fails under substantial reconstruction, the correct output is INDETERMINATE pending field reconnaissance — not a base case with a verdict attached. Report the scenario at which it flips: that is the single most decision-relevant number in the study.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6" customWidth="1" min="2" max="2"/>
    <col width="22" customWidth="1" min="3" max="3"/>
    <col width="14" customWidth="1" min="4" max="4"/>
    <col width="24" customWidth="1" min="5" max="5"/>
    <col width="34" customWidth="1" min="6" max="6"/>
  </cols>
  <sheetData>
    <row r="1">
      <c r="A1" s="1" t="inlineStr">
        <is>
          <t>Commodity segregation and mode-diversion assumptions</t>
        </is>
      </c>
    </row>
    <row r="2">
      <c r="A2" s="3" t="inlineStr">
        <is>
          <t>The decisive analytical step. Diversion rates are ASSUMPTIONS and the answer is highly sensitive to them — each needs its own cited source before use.</t>
        </is>
      </c>
    </row>
    <row r="4">
      <c r="A4" s="4" t="inlineStr">
        <is>
          <t>Commodity class</t>
        </is>
      </c>
      <c r="B4" s="4" t="inlineStr">
        <is>
          <t>Rail-divertible?</t>
        </is>
      </c>
      <c r="C4" s="4" t="inlineStr">
        <is>
          <t>Corridor tonnage (t/yr)</t>
        </is>
      </c>
      <c r="D4" s="4" t="inlineStr">
        <is>
          <t>Diversion rate</t>
        </is>
      </c>
      <c r="E4" s="4" t="inlineStr">
        <is>
          <t>Divertible tonnage (t/yr)</t>
        </is>
      </c>
      <c r="F4" s="4" t="inlineStr">
        <is>
          <t>Source for diversion rate</t>
        </is>
      </c>
    </row>
    <row r="5">
      <c r="A5" t="inlineStr">
        <is>
          <t>Cement</t>
        </is>
      </c>
      <c r="B5" t="inlineStr">
        <is>
          <t>yes</t>
        </is>
      </c>
      <c r="C5" s="20" t="n"/>
      <c r="D5" s="12" t="n"/>
      <c r="E5" s="19">
        <f>IF(OR(C5="",D5=""),"",C5*D5)</f>
        <v/>
      </c>
    </row>
    <row r="6">
      <c r="A6" t="inlineStr">
        <is>
          <t>Aggregate</t>
        </is>
      </c>
      <c r="B6" t="inlineStr">
        <is>
          <t>yes</t>
        </is>
      </c>
      <c r="C6" s="20" t="n"/>
      <c r="D6" s="12" t="n"/>
      <c r="E6" s="19">
        <f>IF(OR(C6="",D6=""),"",C6*D6)</f>
        <v/>
      </c>
    </row>
    <row r="7">
      <c r="A7" t="inlineStr">
        <is>
          <t>Fertilizer</t>
        </is>
      </c>
      <c r="B7" t="inlineStr">
        <is>
          <t>yes</t>
        </is>
      </c>
      <c r="C7" s="20" t="n"/>
      <c r="D7" s="12" t="n"/>
      <c r="E7" s="19">
        <f>IF(OR(C7="",D7=""),"",C7*D7)</f>
        <v/>
      </c>
    </row>
    <row r="8">
      <c r="A8" t="inlineStr">
        <is>
          <t>Grain</t>
        </is>
      </c>
      <c r="B8" t="inlineStr">
        <is>
          <t>yes</t>
        </is>
      </c>
      <c r="C8" s="20" t="n"/>
      <c r="D8" s="12" t="n"/>
      <c r="E8" s="19">
        <f>IF(OR(C8="",D8=""),"",C8*D8)</f>
        <v/>
      </c>
    </row>
    <row r="9">
      <c r="A9" t="inlineStr">
        <is>
          <t>Fuel</t>
        </is>
      </c>
      <c r="B9" t="inlineStr">
        <is>
          <t>yes</t>
        </is>
      </c>
      <c r="C9" s="20" t="n"/>
      <c r="D9" s="12" t="n"/>
      <c r="E9" s="19">
        <f>IF(OR(C9="",D9=""),"",C9*D9)</f>
        <v/>
      </c>
    </row>
    <row r="10">
      <c r="A10" t="inlineStr">
        <is>
          <t>Steel</t>
        </is>
      </c>
      <c r="B10" t="inlineStr">
        <is>
          <t>yes</t>
        </is>
      </c>
      <c r="C10" s="20" t="n"/>
      <c r="D10" s="12" t="n"/>
      <c r="E10" s="19">
        <f>IF(OR(C10="",D10=""),"",C10*D10)</f>
        <v/>
      </c>
    </row>
    <row r="11">
      <c r="A11" t="inlineStr">
        <is>
          <t>Containerised manufactured</t>
        </is>
      </c>
      <c r="B11" t="inlineStr">
        <is>
          <t>yes</t>
        </is>
      </c>
      <c r="C11" s="20" t="n"/>
      <c r="D11" s="12" t="n"/>
      <c r="E11" s="19">
        <f>IF(OR(C11="",D11=""),"",C11*D11)</f>
        <v/>
      </c>
    </row>
    <row r="12">
      <c r="A12" t="inlineStr">
        <is>
          <t>Refrigerated</t>
        </is>
      </c>
      <c r="B12" t="inlineStr">
        <is>
          <t>low</t>
        </is>
      </c>
      <c r="C12" s="20" t="n"/>
      <c r="D12" s="12" t="n"/>
      <c r="E12" s="19">
        <f>IF(OR(C12="",D12=""),"",C12*D12)</f>
        <v/>
      </c>
    </row>
    <row r="13">
      <c r="A13" t="inlineStr">
        <is>
          <t>Time-sensitive</t>
        </is>
      </c>
      <c r="B13" t="inlineStr">
        <is>
          <t>low</t>
        </is>
      </c>
      <c r="C13" s="20" t="n"/>
      <c r="D13" s="12" t="n"/>
      <c r="E13" s="19">
        <f>IF(OR(C13="",D13=""),"",C13*D13)</f>
        <v/>
      </c>
    </row>
    <row r="14">
      <c r="A14" t="inlineStr">
        <is>
          <t>High-value low-density agricultural</t>
        </is>
      </c>
      <c r="B14" t="inlineStr">
        <is>
          <t>low</t>
        </is>
      </c>
      <c r="C14" s="20" t="n"/>
      <c r="D14" s="12" t="n"/>
      <c r="E14" s="19">
        <f>IF(OR(C14="",D14=""),"",C14*D14)</f>
        <v/>
      </c>
    </row>
    <row r="15">
      <c r="A15" s="2" t="inlineStr">
        <is>
          <t>TOTAL divertible</t>
        </is>
      </c>
      <c r="E15" s="21">
        <f>IF(COUNT(E5:E14)=0,"",SUM(E5:E14))</f>
        <v/>
      </c>
    </row>
    <row r="17">
      <c r="A17" s="3" t="inlineStr">
        <is>
          <t>Low-diversion classes (mezcal, coffee, avocado, mango, figs) are a large share of Oaxaca's tradeable output and are exactly the goods least likely to move by rail. Segregating them is what prevents a headline tonnage figure from overstating the case.</t>
        </is>
      </c>
    </row>
    <row r="18">
      <c r="A18" s="3" t="inlineStr">
        <is>
          <t>Aforo data classifies by axle configuration only — there is NO commodity field. Commodity mix must come from production and trade data (SIAP, INEGI Censos Económicos), not from truck counts.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20" customWidth="1" min="2" max="2"/>
    <col width="24" customWidth="1" min="3" max="3"/>
    <col width="18" customWidth="1" min="4" max="4"/>
    <col width="18" customWidth="1" min="5" max="5"/>
    <col width="18" customWidth="1" min="6" max="6"/>
  </cols>
  <sheetData>
    <row r="1">
      <c r="A1" s="1" t="inlineStr">
        <is>
          <t>Maximum supportable capital — the screen inverted</t>
        </is>
      </c>
    </row>
    <row r="2">
      <c r="A2" s="3" t="inlineStr">
        <is>
          <t>A planning-level capital cost for this alignment could not be sourced. So instead: given what the corridor demonstrably moves and what Mexican railways demonstrably earn per ton-km, how much capital could the line support? Needs no capital estimate.</t>
        </is>
      </c>
    </row>
    <row r="4">
      <c r="A4" s="2" t="inlineStr">
        <is>
          <t>CORRIDOR TONNAGE FROM OBSERVED TRAFFIC</t>
        </is>
      </c>
    </row>
    <row r="5">
      <c r="A5" t="inlineStr">
        <is>
          <t>Articulated veh/day, both directions</t>
        </is>
      </c>
      <c r="B5" s="19">
        <f>Inputs!B32</f>
        <v/>
      </c>
      <c r="C5" t="inlineStr">
        <is>
          <t>veh/day</t>
        </is>
      </c>
      <c r="D5" s="3" t="inlineStr">
        <is>
          <t>sct-2025-datosviales-oaxaca (SR-2 bound)</t>
        </is>
      </c>
    </row>
    <row r="6">
      <c r="A6" t="inlineStr">
        <is>
          <t>Loaded share</t>
        </is>
      </c>
      <c r="B6" s="15">
        <f>IF(Inputs!B31="","",1-Inputs!B31)</f>
        <v/>
      </c>
      <c r="C6" t="inlineStr">
        <is>
          <t>fraction</t>
        </is>
      </c>
      <c r="D6" s="3" t="inlineStr">
        <is>
          <t>[ASSUMPTION] 30–50% empty</t>
        </is>
      </c>
    </row>
    <row r="7">
      <c r="A7" t="inlineStr">
        <is>
          <t>Payload per loaded truck</t>
        </is>
      </c>
      <c r="B7" s="15">
        <f>Inputs!B30</f>
        <v/>
      </c>
      <c r="C7" t="inlineStr">
        <is>
          <t>tonnes</t>
        </is>
      </c>
      <c r="D7" s="3" t="inlineStr">
        <is>
          <t>[ASSUMPTION] 25–30 t</t>
        </is>
      </c>
    </row>
    <row r="8">
      <c r="A8" t="inlineStr">
        <is>
          <t>Corridor tonnage</t>
        </is>
      </c>
      <c r="B8" s="19">
        <f>IF(OR(B5="",B6="",B7=""),"",B5*B6*B7*365)</f>
        <v/>
      </c>
      <c r="C8" t="inlineStr">
        <is>
          <t>tonnes / yr</t>
        </is>
      </c>
      <c r="D8" s="3" t="inlineStr">
        <is>
          <t>derived</t>
        </is>
      </c>
    </row>
    <row r="10">
      <c r="A10" s="2" t="inlineStr">
        <is>
          <t>MAXIMUM SUPPORTABLE CAPITAL (MXN million per route-km)</t>
        </is>
      </c>
    </row>
    <row r="11">
      <c r="A11" s="3" t="inlineStr">
        <is>
          <t>Rows = share of corridor freight won by rail [ASSUMPTION]. Columns = cost of capital, 30-year life.</t>
        </is>
      </c>
    </row>
    <row r="12">
      <c r="A12" s="4" t="inlineStr">
        <is>
          <t>Diversion</t>
        </is>
      </c>
      <c r="B12" s="4" t="inlineStr">
        <is>
          <t>Tonnage (t/yr)</t>
        </is>
      </c>
      <c r="C12" s="4" t="inlineStr">
        <is>
          <t>Annual surplus (MXN m)</t>
        </is>
      </c>
      <c r="D12" s="4" t="inlineStr">
        <is>
          <t>@5% MXN m/km</t>
        </is>
      </c>
      <c r="E12" s="4" t="inlineStr">
        <is>
          <t>@6% MXN m/km</t>
        </is>
      </c>
      <c r="F12" s="4" t="inlineStr">
        <is>
          <t>@8% MXN m/km</t>
        </is>
      </c>
    </row>
    <row r="13">
      <c r="A13" s="22" t="n">
        <v>1</v>
      </c>
      <c r="B13" s="19">
        <f>IF($B$8="","",$B$8*A13)</f>
        <v/>
      </c>
      <c r="C13" s="13">
        <f>IF(OR(B13="",Inputs!$B$24="",Inputs!$B$5=""),"",B13*Inputs!$B$5*Inputs!$B$24/1000000)</f>
        <v/>
      </c>
      <c r="D13" s="13">
        <f>IF(OR($C13="",Inputs!$B$16="",Inputs!$B$15="",Inputs!$B$5=""),"",$C13*((1-(1+Inputs!$B$16)^-Inputs!$B$15)/Inputs!$B$16)/Inputs!$B$5)</f>
        <v/>
      </c>
      <c r="E13" s="13">
        <f>IF(OR($C13="",Inputs!$B$17="",Inputs!$B$15="",Inputs!$B$5=""),"",$C13*((1-(1+Inputs!$B$17)^-Inputs!$B$15)/Inputs!$B$17)/Inputs!$B$5)</f>
        <v/>
      </c>
      <c r="F13" s="13">
        <f>IF(OR($C13="",Inputs!$B$18="",Inputs!$B$15="",Inputs!$B$5=""),"",$C13*((1-(1+Inputs!$B$18)^-Inputs!$B$15)/Inputs!$B$18)/Inputs!$B$5)</f>
        <v/>
      </c>
    </row>
    <row r="14">
      <c r="A14" s="22" t="n">
        <v>0.5</v>
      </c>
      <c r="B14" s="19">
        <f>IF($B$8="","",$B$8*A14)</f>
        <v/>
      </c>
      <c r="C14" s="13">
        <f>IF(OR(B14="",Inputs!$B$24="",Inputs!$B$5=""),"",B14*Inputs!$B$5*Inputs!$B$24/1000000)</f>
        <v/>
      </c>
      <c r="D14" s="13">
        <f>IF(OR($C14="",Inputs!$B$16="",Inputs!$B$15="",Inputs!$B$5=""),"",$C14*((1-(1+Inputs!$B$16)^-Inputs!$B$15)/Inputs!$B$16)/Inputs!$B$5)</f>
        <v/>
      </c>
      <c r="E14" s="13">
        <f>IF(OR($C14="",Inputs!$B$17="",Inputs!$B$15="",Inputs!$B$5=""),"",$C14*((1-(1+Inputs!$B$17)^-Inputs!$B$15)/Inputs!$B$17)/Inputs!$B$5)</f>
        <v/>
      </c>
      <c r="F14" s="13">
        <f>IF(OR($C14="",Inputs!$B$18="",Inputs!$B$15="",Inputs!$B$5=""),"",$C14*((1-(1+Inputs!$B$18)^-Inputs!$B$15)/Inputs!$B$18)/Inputs!$B$5)</f>
        <v/>
      </c>
    </row>
    <row r="15">
      <c r="A15" s="22" t="n">
        <v>0.3</v>
      </c>
      <c r="B15" s="19">
        <f>IF($B$8="","",$B$8*A15)</f>
        <v/>
      </c>
      <c r="C15" s="13">
        <f>IF(OR(B15="",Inputs!$B$24="",Inputs!$B$5=""),"",B15*Inputs!$B$5*Inputs!$B$24/1000000)</f>
        <v/>
      </c>
      <c r="D15" s="13">
        <f>IF(OR($C15="",Inputs!$B$16="",Inputs!$B$15="",Inputs!$B$5=""),"",$C15*((1-(1+Inputs!$B$16)^-Inputs!$B$15)/Inputs!$B$16)/Inputs!$B$5)</f>
        <v/>
      </c>
      <c r="E15" s="13">
        <f>IF(OR($C15="",Inputs!$B$17="",Inputs!$B$15="",Inputs!$B$5=""),"",$C15*((1-(1+Inputs!$B$17)^-Inputs!$B$15)/Inputs!$B$17)/Inputs!$B$5)</f>
        <v/>
      </c>
      <c r="F15" s="13">
        <f>IF(OR($C15="",Inputs!$B$18="",Inputs!$B$15="",Inputs!$B$5=""),"",$C15*((1-(1+Inputs!$B$18)^-Inputs!$B$15)/Inputs!$B$18)/Inputs!$B$5)</f>
        <v/>
      </c>
    </row>
    <row r="16">
      <c r="A16" s="22" t="n">
        <v>0.15</v>
      </c>
      <c r="B16" s="19">
        <f>IF($B$8="","",$B$8*A16)</f>
        <v/>
      </c>
      <c r="C16" s="13">
        <f>IF(OR(B16="",Inputs!$B$24="",Inputs!$B$5=""),"",B16*Inputs!$B$5*Inputs!$B$24/1000000)</f>
        <v/>
      </c>
      <c r="D16" s="13">
        <f>IF(OR($C16="",Inputs!$B$16="",Inputs!$B$15="",Inputs!$B$5=""),"",$C16*((1-(1+Inputs!$B$16)^-Inputs!$B$15)/Inputs!$B$16)/Inputs!$B$5)</f>
        <v/>
      </c>
      <c r="E16" s="13">
        <f>IF(OR($C16="",Inputs!$B$17="",Inputs!$B$15="",Inputs!$B$5=""),"",$C16*((1-(1+Inputs!$B$17)^-Inputs!$B$15)/Inputs!$B$17)/Inputs!$B$5)</f>
        <v/>
      </c>
      <c r="F16" s="13">
        <f>IF(OR($C16="",Inputs!$B$18="",Inputs!$B$15="",Inputs!$B$5=""),"",$C16*((1-(1+Inputs!$B$18)^-Inputs!$B$15)/Inputs!$B$18)/Inputs!$B$5)</f>
        <v/>
      </c>
    </row>
    <row r="19">
      <c r="A19" s="2" t="inlineStr">
        <is>
          <t>BENCHMARKS</t>
        </is>
      </c>
    </row>
    <row r="20">
      <c r="A20" t="inlineStr">
        <is>
          <t>UNESCAP light rehabilitation</t>
        </is>
      </c>
      <c r="B20" s="15">
        <f>IF(Inputs!B26="","",0.5*Inputs!B26)</f>
        <v/>
      </c>
      <c r="C20" s="3" t="inlineStr">
        <is>
          <t>MXN million / km</t>
        </is>
      </c>
      <c r="D20" s="3" t="inlineStr">
        <is>
          <t>&lt; USD 500,000/route-km, converted at Inputs!B26 — state the rate and its date</t>
        </is>
      </c>
    </row>
    <row r="21">
      <c r="A21" t="inlineStr">
        <is>
          <t>Línea Z Mexican precedent</t>
        </is>
      </c>
      <c r="B21" s="23" t="n">
        <v>60</v>
      </c>
      <c r="C21" s="3" t="inlineStr">
        <is>
          <t>MXN million / km</t>
        </is>
      </c>
      <c r="D21" s="3" t="inlineStr">
        <is>
          <t>~18,000 MXN million / ~300 km  [PRESS — UNVERIFIED, must not carry a conclusion]</t>
        </is>
      </c>
    </row>
    <row r="23">
      <c r="A23" s="2" t="inlineStr">
        <is>
          <t>VERDICT TEST</t>
        </is>
      </c>
      <c r="B23" s="24">
        <f>IF(OR(D13="",B21=""),"pending inputs",IF(F13&lt;B21,"FAILS — even 100% capture at the highest cost of capital cannot support the Mexican precedent unit cost","review"))</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6" customWidth="1" min="1" max="1"/>
    <col width="58" customWidth="1" min="2" max="2"/>
    <col width="14" customWidth="1" min="3" max="3"/>
    <col width="22" customWidth="1" min="4" max="4"/>
  </cols>
  <sheetData>
    <row r="1">
      <c r="A1" s="1" t="inlineStr">
        <is>
          <t>Compare — divertible tonnage against breakeven</t>
        </is>
      </c>
    </row>
    <row r="2">
      <c r="A2" s="3" t="inlineStr">
        <is>
          <t>Filled once both sides exist. Ranges, not point estimates.</t>
        </is>
      </c>
    </row>
    <row r="4">
      <c r="A4" s="4" t="inlineStr">
        <is>
          <t>Quantity</t>
        </is>
      </c>
      <c r="B4" s="4" t="inlineStr">
        <is>
          <t>Value</t>
        </is>
      </c>
      <c r="C4" s="4" t="inlineStr">
        <is>
          <t>Unit</t>
        </is>
      </c>
      <c r="D4" s="4" t="inlineStr">
        <is>
          <t>Source</t>
        </is>
      </c>
    </row>
    <row r="5">
      <c r="A5" t="inlineStr">
        <is>
          <t>Corridor tonnage, ALL articulated freight</t>
        </is>
      </c>
      <c r="B5" s="19">
        <f>Supportable!B8</f>
        <v/>
      </c>
      <c r="C5" t="inlineStr">
        <is>
          <t>t / yr</t>
        </is>
      </c>
      <c r="D5" t="inlineStr">
        <is>
          <t>aforo 2024 x IMT loads</t>
        </is>
      </c>
    </row>
    <row r="6">
      <c r="A6" t="inlineStr">
        <is>
          <t>Breakeven as % of ALL corridor freight — best case</t>
        </is>
      </c>
      <c r="B6" s="19">
        <f>IF(OR(B5="",B5=0,COUNT(Breakeven!F8:F25)=0),"",MIN(Breakeven!F8:F25)/B5)</f>
        <v/>
      </c>
      <c r="C6" t="inlineStr">
        <is>
          <t>%</t>
        </is>
      </c>
      <c r="D6" t="inlineStr">
        <is>
          <t>derived</t>
        </is>
      </c>
    </row>
    <row r="7">
      <c r="A7" t="inlineStr">
        <is>
          <t>Breakeven as % of ALL corridor freight — worst case</t>
        </is>
      </c>
      <c r="B7" s="19">
        <f>IF(OR(B5="",B5=0,COUNT(Breakeven!F8:F25)=0),"",MAX(Breakeven!F8:F25)/B5)</f>
        <v/>
      </c>
      <c r="C7" t="inlineStr">
        <is>
          <t>%</t>
        </is>
      </c>
      <c r="D7" t="inlineStr">
        <is>
          <t>derived</t>
        </is>
      </c>
    </row>
    <row r="8">
      <c r="A8" t="inlineStr">
        <is>
          <t>Divertible tonnage (bottom-up, commodity)</t>
        </is>
      </c>
      <c r="B8" s="19">
        <f>Commodity!E15</f>
        <v/>
      </c>
      <c r="C8" t="inlineStr">
        <is>
          <t>t / yr</t>
        </is>
      </c>
      <c r="D8" t="inlineStr">
        <is>
          <t>Commodity sheet</t>
        </is>
      </c>
    </row>
    <row r="9">
      <c r="A9" t="inlineStr">
        <is>
          <t>Breakeven tonnage — most favourable case</t>
        </is>
      </c>
      <c r="B9" s="19">
        <f>IF(COUNT(Breakeven!F8:F25)=0,"",MIN(Breakeven!F8:F25))</f>
        <v/>
      </c>
      <c r="C9" t="inlineStr">
        <is>
          <t>t / yr</t>
        </is>
      </c>
      <c r="D9" t="inlineStr">
        <is>
          <t>Breakeven sheet</t>
        </is>
      </c>
    </row>
    <row r="10">
      <c r="A10" t="inlineStr">
        <is>
          <t>Breakeven tonnage — least favourable case</t>
        </is>
      </c>
      <c r="B10" s="19">
        <f>IF(COUNT(Breakeven!F8:F25)=0,"",MAX(Breakeven!F8:F25))</f>
        <v/>
      </c>
      <c r="C10" t="inlineStr">
        <is>
          <t>t / yr</t>
        </is>
      </c>
      <c r="D10" t="inlineStr">
        <is>
          <t>Breakeven sheet</t>
        </is>
      </c>
    </row>
    <row r="11">
      <c r="A11" t="inlineStr">
        <is>
          <t>Ratio: divertible / breakeven (favourable)</t>
        </is>
      </c>
      <c r="B11" s="15">
        <f>IF(OR(B8="",B9="",B9=0),"",B8/B9)</f>
        <v/>
      </c>
      <c r="C11" t="inlineStr">
        <is>
          <t>x</t>
        </is>
      </c>
      <c r="D11" t="inlineStr"/>
    </row>
    <row r="12">
      <c r="A12" t="inlineStr">
        <is>
          <t>Ratio: divertible / breakeven (unfavourable)</t>
        </is>
      </c>
      <c r="B12" s="15">
        <f>IF(OR(B8="",B10="",B10=0),"",B8/B10)</f>
        <v/>
      </c>
      <c r="C12" t="inlineStr">
        <is>
          <t>x</t>
        </is>
      </c>
      <c r="D12" t="inlineStr"/>
    </row>
    <row r="14">
      <c r="A14" s="2" t="inlineStr">
        <is>
          <t>VERDICT GATE</t>
        </is>
      </c>
    </row>
    <row r="15">
      <c r="A15" t="inlineStr">
        <is>
          <t>Stop Rule 3 test</t>
        </is>
      </c>
      <c r="B15" s="24">
        <f>IF(OR(B11="",B12=""),"pending commodity segregation — see B6:B7 for the all-freight comparison",IF(AND(B11&gt;1,B12&lt;1),"INDETERMINATE — scenarios straddle breakeven; field reconnaissance required",IF(B11&lt;1,"FAILS under every capital scenario",IF(B12&gt;1,"CLEARS under every capital scenario","review"))))</f>
        <v/>
      </c>
    </row>
    <row r="17">
      <c r="A17" s="3" t="inlineStr">
        <is>
          <t>A straddle is a real result, not a failure to decide. Per the brief, do not select a base case and present a conclusion — report the scenario at which the answer flips.</t>
        </is>
      </c>
    </row>
    <row r="18">
      <c r="A18" s="3" t="inlineStr">
        <is>
          <t>Rows 6-7 are the comparison that does NOT wait on commodity segregation: breakeven tonnage as a share of ALL articulated freight in the corridor. Since divertible tonnage cannot exceed total tonnage, those percentages are a LOWER BOUND on the capture rate required — and they assume structures cost zero.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2026-08-28T01:48:57Z</dcterms:created>
  <dcterms:modified xsi:type="dcterms:W3CDTF">2026-08-28T01:48:57Z</dcterms:modified>
</cp:coreProperties>
</file>