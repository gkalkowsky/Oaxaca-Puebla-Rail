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Breakeven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/>
    </xf>
    <xf numFmtId="0" fontId="2" fillId="3" borderId="0" pivotButton="0" quotePrefix="0" xfId="0"/>
    <xf numFmtId="0" fontId="0" fillId="3" borderId="0" pivotButton="0" quotePrefix="0" xfId="0"/>
    <xf numFmtId="3" fontId="0" fillId="4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5" fontId="0" fillId="4" borderId="1" pivotButton="0" quotePrefix="0" xfId="0"/>
    <xf numFmtId="3" fontId="0" fillId="5" borderId="1" pivotButton="0" quotePrefix="0" xfId="0"/>
    <xf numFmtId="0" fontId="0" fillId="4" borderId="1" pivotButton="0" quotePrefix="0" xfId="0"/>
    <xf numFmtId="165" fontId="0" fillId="5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Oaxaca–Puebla Rail — Breakeven Model</t>
        </is>
      </c>
    </row>
    <row r="2">
      <c r="A2" t="inlineStr"/>
    </row>
    <row r="3">
      <c r="A3" t="inlineStr">
        <is>
          <t>Status: Phase 0 scaffold. All inputs are blank. No breakeven figure has been established.</t>
        </is>
      </c>
    </row>
    <row r="4">
      <c r="A4" t="inlineStr"/>
    </row>
    <row r="5">
      <c r="A5" s="2" t="inlineStr">
        <is>
          <t>PURPOSE</t>
        </is>
      </c>
    </row>
    <row r="6">
      <c r="A6" t="inlineStr">
        <is>
          <t>Answer one question: how many passengers a year does this line need to cover its costs,</t>
        </is>
      </c>
    </row>
    <row r="7">
      <c r="A7" t="inlineStr">
        <is>
          <t>and how does that compare with the number of people who currently travel the corridor at all?</t>
        </is>
      </c>
    </row>
    <row r="8">
      <c r="A8" t="inlineStr">
        <is>
          <t>That comparison is stop rule SR-2 in deliverables/feasibility_screen.md.</t>
        </is>
      </c>
    </row>
    <row r="9">
      <c r="A9" t="inlineStr"/>
    </row>
    <row r="10">
      <c r="A10" s="2" t="inlineStr">
        <is>
          <t>HOW TO USE</t>
        </is>
      </c>
    </row>
    <row r="11">
      <c r="A11" t="inlineStr">
        <is>
          <t>1. Fill a yellow input cell on 'Assumptions' ONLY together with its Source column entry.</t>
        </is>
      </c>
    </row>
    <row r="12">
      <c r="A12" t="inlineStr">
        <is>
          <t xml:space="preserve">   The source is the manifest ID from deliverables/data_sources.md, e.g. inegi-2020-censo.</t>
        </is>
      </c>
    </row>
    <row r="13">
      <c r="A13" t="inlineStr">
        <is>
          <t>2. Green cells are calculated. Do not type over them.</t>
        </is>
      </c>
    </row>
    <row r="14">
      <c r="A14" t="inlineStr">
        <is>
          <t>3. Blank inputs propagate as blank, not as zero — the model stays silent until it is fed.</t>
        </is>
      </c>
    </row>
    <row r="15">
      <c r="A15" t="inlineStr">
        <is>
          <t>4. Read 'Breakeven'. Read 'Sensitivity' before believing 'Breakeven'.</t>
        </is>
      </c>
    </row>
    <row r="16">
      <c r="A16" t="inlineStr"/>
    </row>
    <row r="17">
      <c r="A17" s="2" t="inlineStr">
        <is>
          <t>CONVENTIONS</t>
        </is>
      </c>
    </row>
    <row r="18">
      <c r="A18" t="inlineStr">
        <is>
          <t>Currency and base year are declared on 'Assumptions' and apply to every money figure.</t>
        </is>
      </c>
    </row>
    <row r="19">
      <c r="A19" t="inlineStr">
        <is>
          <t>Mixing nominal and real figures, or MXN and USD, is risk R-10 in the risk register.</t>
        </is>
      </c>
    </row>
    <row r="20">
      <c r="A20" t="inlineStr"/>
    </row>
    <row r="21">
      <c r="A21" s="2" t="inlineStr">
        <is>
          <t>WHAT THIS MODEL DELIBERATELY DOES NOT DO</t>
        </is>
      </c>
    </row>
    <row r="22">
      <c r="A22" t="inlineStr">
        <is>
          <t>It does not forecast demand. Projected ridership is corridor travel × an assumed capture</t>
        </is>
      </c>
    </row>
    <row r="23">
      <c r="A23" t="inlineStr">
        <is>
          <t>rate that the analyst enters by hand; the model reports what that assumption implies,</t>
        </is>
      </c>
    </row>
    <row r="24">
      <c r="A24" t="inlineStr">
        <is>
          <t>it does not defend it. Capital recovery is shown separately from operating breakeven</t>
        </is>
      </c>
    </row>
    <row r="25">
      <c r="A25" t="inlineStr">
        <is>
          <t>because the funding model is unknown at screen stage — a line may be worth operating</t>
        </is>
      </c>
    </row>
    <row r="26">
      <c r="A26" t="inlineStr">
        <is>
          <t>while never recovering its capital, and the screen should be able to say so.</t>
        </is>
      </c>
    </row>
    <row r="27">
      <c r="A27" t="inlineStr"/>
    </row>
    <row r="28">
      <c r="A28" t="inlineStr">
        <is>
          <t>It is a screening tool. Its output supports a decision to study further, nothing more.</t>
        </is>
      </c>
    </row>
    <row r="29">
      <c r="A29" t="inlineStr"/>
    </row>
    <row r="30">
      <c r="A30" t="inlineStr">
        <is>
          <t>Regenerate with: python3 analysis/scripts/build_breakeven_model.py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26" customWidth="1" min="4" max="4"/>
    <col width="74" customWidth="1" min="5" max="5"/>
  </cols>
  <sheetData>
    <row r="1">
      <c r="A1" s="1" t="inlineStr">
        <is>
          <t>Assumptions — all values pending Phase 2</t>
        </is>
      </c>
    </row>
    <row r="2">
      <c r="A2" s="3" t="inlineStr">
        <is>
          <t>Yellow = enter a value with its source. Green = calculated. Never fill a value without a source.</t>
        </is>
      </c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Unit</t>
        </is>
      </c>
      <c r="D3" s="4" t="inlineStr">
        <is>
          <t>Source (manifest ID)</t>
        </is>
      </c>
      <c r="E3" s="4" t="inlineStr">
        <is>
          <t>Notes</t>
        </is>
      </c>
    </row>
    <row r="4">
      <c r="A4" s="5" t="inlineStr">
        <is>
          <t>CORRIDOR</t>
        </is>
      </c>
      <c r="B4" s="6" t="n"/>
      <c r="C4" s="6" t="n"/>
      <c r="D4" s="6" t="n"/>
      <c r="E4" s="6" t="n"/>
    </row>
    <row r="5">
      <c r="A5" t="inlineStr">
        <is>
          <t>Route length</t>
        </is>
      </c>
      <c r="B5" s="7" t="n"/>
      <c r="C5" t="inlineStr">
        <is>
          <t>km</t>
        </is>
      </c>
      <c r="D5" t="inlineStr"/>
      <c r="E5" s="3" t="inlineStr">
        <is>
          <t>Plausible alignment, not straight-line distance</t>
        </is>
      </c>
    </row>
    <row r="6">
      <c r="A6" s="5" t="inlineStr">
        <is>
          <t>CAPITAL</t>
        </is>
      </c>
      <c r="B6" s="6" t="n"/>
      <c r="C6" s="6" t="n"/>
      <c r="D6" s="6" t="n"/>
      <c r="E6" s="6" t="n"/>
    </row>
    <row r="7">
      <c r="A7" t="inlineStr">
        <is>
          <t>Capital cost per route-km</t>
        </is>
      </c>
      <c r="B7" s="8" t="n"/>
      <c r="C7" t="inlineStr">
        <is>
          <t>MXN million / km</t>
        </is>
      </c>
      <c r="D7" t="inlineStr"/>
      <c r="E7" s="3" t="inlineStr">
        <is>
          <t>[ANALOGUE] — only from a project of comparable terrain class</t>
        </is>
      </c>
    </row>
    <row r="8">
      <c r="A8" t="inlineStr">
        <is>
          <t>Total capital cost</t>
        </is>
      </c>
      <c r="B8" s="9">
        <f>IF(OR(B5="",B7=""),"",B5*B7)</f>
        <v/>
      </c>
      <c r="C8" t="inlineStr">
        <is>
          <t>MXN million</t>
        </is>
      </c>
      <c r="D8" t="inlineStr"/>
      <c r="E8" s="3" t="inlineStr"/>
    </row>
    <row r="9">
      <c r="A9" t="inlineStr">
        <is>
          <t>Discount rate</t>
        </is>
      </c>
      <c r="B9" s="10" t="n"/>
      <c r="C9" t="inlineStr">
        <is>
          <t>% / yr</t>
        </is>
      </c>
      <c r="D9" t="inlineStr"/>
      <c r="E9" s="3" t="inlineStr">
        <is>
          <t>Social discount rate used for public projects</t>
        </is>
      </c>
    </row>
    <row r="10">
      <c r="A10" t="inlineStr">
        <is>
          <t>Asset life</t>
        </is>
      </c>
      <c r="B10" s="7" t="n"/>
      <c r="C10" t="inlineStr">
        <is>
          <t>years</t>
        </is>
      </c>
      <c r="D10" t="inlineStr"/>
      <c r="E10" s="3" t="inlineStr"/>
    </row>
    <row r="11">
      <c r="A11" t="inlineStr">
        <is>
          <t>Annualised capital charge</t>
        </is>
      </c>
      <c r="B11" s="9">
        <f>IF(OR(B8="",B9="",B10=""),"",-PMT(B9,B10,B8))</f>
        <v/>
      </c>
      <c r="C11" t="inlineStr">
        <is>
          <t>MXN million / yr</t>
        </is>
      </c>
      <c r="D11" t="inlineStr"/>
      <c r="E11" s="3" t="inlineStr">
        <is>
          <t>Level annual charge recovering capital over asset life</t>
        </is>
      </c>
    </row>
    <row r="12">
      <c r="A12" s="5" t="inlineStr">
        <is>
          <t>OPERATING</t>
        </is>
      </c>
      <c r="B12" s="6" t="n"/>
      <c r="C12" s="6" t="n"/>
      <c r="D12" s="6" t="n"/>
      <c r="E12" s="6" t="n"/>
    </row>
    <row r="13">
      <c r="A13" t="inlineStr">
        <is>
          <t>Daily services each way</t>
        </is>
      </c>
      <c r="B13" s="7" t="n"/>
      <c r="C13" t="inlineStr">
        <is>
          <t>trains / day</t>
        </is>
      </c>
      <c r="D13" t="inlineStr"/>
      <c r="E13" s="3" t="inlineStr"/>
    </row>
    <row r="14">
      <c r="A14" t="inlineStr">
        <is>
          <t>Operating days per year</t>
        </is>
      </c>
      <c r="B14" s="7" t="n"/>
      <c r="C14" t="inlineStr">
        <is>
          <t>days</t>
        </is>
      </c>
      <c r="D14" t="inlineStr"/>
      <c r="E14" s="3" t="inlineStr"/>
    </row>
    <row r="15">
      <c r="A15" t="inlineStr">
        <is>
          <t>Annual train-km</t>
        </is>
      </c>
      <c r="B15" s="11">
        <f>IF(OR(B5="",B13="",B14=""),"",B13*2*B14*B5)</f>
        <v/>
      </c>
      <c r="C15" t="inlineStr">
        <is>
          <t>train-km / yr</t>
        </is>
      </c>
      <c r="D15" t="inlineStr"/>
      <c r="E15" s="3" t="inlineStr">
        <is>
          <t>Services each way × 2 × operating days × route length</t>
        </is>
      </c>
    </row>
    <row r="16">
      <c r="A16" t="inlineStr">
        <is>
          <t>Operating cost per train-km</t>
        </is>
      </c>
      <c r="B16" s="8" t="n"/>
      <c r="C16" t="inlineStr">
        <is>
          <t>MXN / train-km</t>
        </is>
      </c>
      <c r="D16" t="inlineStr"/>
      <c r="E16" s="3" t="inlineStr">
        <is>
          <t>All-in: crew, energy, maintenance, track access, overhead</t>
        </is>
      </c>
    </row>
    <row r="17">
      <c r="A17" t="inlineStr">
        <is>
          <t>Annual operating cost</t>
        </is>
      </c>
      <c r="B17" s="9">
        <f>IF(OR(B15="",B16=""),"",B15*B16/1000000)</f>
        <v/>
      </c>
      <c r="C17" t="inlineStr">
        <is>
          <t>MXN million / yr</t>
        </is>
      </c>
      <c r="D17" t="inlineStr"/>
      <c r="E17" s="3" t="inlineStr"/>
    </row>
    <row r="18">
      <c r="A18" s="5" t="inlineStr">
        <is>
          <t>REVENUE</t>
        </is>
      </c>
      <c r="B18" s="6" t="n"/>
      <c r="C18" s="6" t="n"/>
      <c r="D18" s="6" t="n"/>
      <c r="E18" s="6" t="n"/>
    </row>
    <row r="19">
      <c r="A19" t="inlineStr">
        <is>
          <t>Average fare per trip</t>
        </is>
      </c>
      <c r="B19" s="8" t="n"/>
      <c r="C19" t="inlineStr">
        <is>
          <t>MXN</t>
        </is>
      </c>
      <c r="D19" t="inlineStr"/>
      <c r="E19" s="3" t="inlineStr">
        <is>
          <t>Blended across classes and distances actually travelled</t>
        </is>
      </c>
    </row>
    <row r="20">
      <c r="A20" t="inlineStr">
        <is>
          <t>Non-fare revenue per trip</t>
        </is>
      </c>
      <c r="B20" s="8" t="n"/>
      <c r="C20" t="inlineStr">
        <is>
          <t>MXN</t>
        </is>
      </c>
      <c r="D20" t="inlineStr"/>
      <c r="E20" s="3" t="inlineStr">
        <is>
          <t>Concessions, advertising, parking; 0 is a defensible screen value</t>
        </is>
      </c>
    </row>
    <row r="21">
      <c r="A21" t="inlineStr">
        <is>
          <t>Average revenue per trip</t>
        </is>
      </c>
      <c r="B21" s="9">
        <f>IF(OR(B19="",B20=""),"",B19+B20)</f>
        <v/>
      </c>
      <c r="C21" t="inlineStr">
        <is>
          <t>MXN</t>
        </is>
      </c>
      <c r="D21" t="inlineStr"/>
      <c r="E21" s="3" t="inlineStr"/>
    </row>
    <row r="22">
      <c r="A22" s="5" t="inlineStr">
        <is>
          <t>DEMAND</t>
        </is>
      </c>
      <c r="B22" s="6" t="n"/>
      <c r="C22" s="6" t="n"/>
      <c r="D22" s="6" t="n"/>
      <c r="E22" s="6" t="n"/>
    </row>
    <row r="23">
      <c r="A23" t="inlineStr">
        <is>
          <t>Corridor travel, all modes</t>
        </is>
      </c>
      <c r="B23" s="7" t="n"/>
      <c r="C23" t="inlineStr">
        <is>
          <t>trips / yr</t>
        </is>
      </c>
      <c r="D23" t="inlineStr"/>
      <c r="E23" s="3" t="inlineStr">
        <is>
          <t>Observed bus + air + private vehicle. NOT derived from population — risk R-03</t>
        </is>
      </c>
    </row>
    <row r="24">
      <c r="A24" t="inlineStr">
        <is>
          <t>Assumed rail mode capture</t>
        </is>
      </c>
      <c r="B24" s="10" t="n"/>
      <c r="C24" t="inlineStr">
        <is>
          <t>% of corridor travel</t>
        </is>
      </c>
      <c r="D24" t="inlineStr"/>
      <c r="E24" s="3" t="inlineStr">
        <is>
          <t>The assumption most likely to be wrong — risk R-04. State it, test it on 'Sensitivity'</t>
        </is>
      </c>
    </row>
    <row r="25">
      <c r="A25" t="inlineStr">
        <is>
          <t>Projected annual ridership</t>
        </is>
      </c>
      <c r="B25" s="11">
        <f>IF(OR(B23="",B24=""),"",B23*B24)</f>
        <v/>
      </c>
      <c r="C25" t="inlineStr">
        <is>
          <t>trips / yr</t>
        </is>
      </c>
      <c r="D25" t="inlineStr"/>
      <c r="E25" s="3" t="inlineStr"/>
    </row>
    <row r="26">
      <c r="A26" s="5" t="inlineStr">
        <is>
          <t>CONVENTIONS</t>
        </is>
      </c>
      <c r="B26" s="6" t="n"/>
      <c r="C26" s="6" t="n"/>
      <c r="D26" s="6" t="n"/>
      <c r="E26" s="6" t="n"/>
    </row>
    <row r="27">
      <c r="A27" t="inlineStr">
        <is>
          <t>Base year</t>
        </is>
      </c>
      <c r="B27" s="12" t="n"/>
      <c r="C27" t="inlineStr">
        <is>
          <t>yyyy</t>
        </is>
      </c>
      <c r="D27" t="inlineStr"/>
      <c r="E27" s="3" t="inlineStr">
        <is>
          <t>All money figures are real terms in this year</t>
        </is>
      </c>
    </row>
    <row r="28">
      <c r="A28" t="inlineStr">
        <is>
          <t>Currency</t>
        </is>
      </c>
      <c r="B28" s="12" t="n"/>
      <c r="C28" t="inlineStr"/>
      <c r="D28" t="inlineStr"/>
      <c r="E28" s="3" t="inlineStr">
        <is>
          <t>MXN throughout; convert at a stated rate and record it</t>
        </is>
      </c>
    </row>
    <row r="29">
      <c r="A29" t="inlineStr">
        <is>
          <t>FX rate used, if any</t>
        </is>
      </c>
      <c r="B29" s="8" t="n"/>
      <c r="C29" t="inlineStr">
        <is>
          <t>MXN / USD</t>
        </is>
      </c>
      <c r="D29" t="inlineStr"/>
      <c r="E29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72" customWidth="1" min="5" max="5"/>
  </cols>
  <sheetData>
    <row r="1">
      <c r="A1" s="1" t="inlineStr">
        <is>
          <t>Breakeven</t>
        </is>
      </c>
    </row>
    <row r="2">
      <c r="A2" s="3" t="inlineStr">
        <is>
          <t>Blank output means an input it depends on has not been established. That is the correct display.</t>
        </is>
      </c>
    </row>
    <row r="3">
      <c r="A3" s="4" t="inlineStr">
        <is>
          <t>Output</t>
        </is>
      </c>
      <c r="B3" s="4" t="inlineStr">
        <is>
          <t>Value</t>
        </is>
      </c>
      <c r="C3" s="4" t="inlineStr">
        <is>
          <t>Unit</t>
        </is>
      </c>
      <c r="D3" s="4" t="inlineStr">
        <is>
          <t>Basis</t>
        </is>
      </c>
      <c r="E3" s="4" t="inlineStr">
        <is>
          <t>Notes</t>
        </is>
      </c>
    </row>
    <row r="4">
      <c r="A4" s="5" t="inlineStr">
        <is>
          <t>ANNUAL COST</t>
        </is>
      </c>
      <c r="B4" s="6" t="n"/>
      <c r="C4" s="6" t="n"/>
      <c r="D4" s="6" t="n"/>
      <c r="E4" s="6" t="n"/>
    </row>
    <row r="5">
      <c r="A5" t="inlineStr">
        <is>
          <t>Annual operating cost</t>
        </is>
      </c>
      <c r="B5" s="9">
        <f>Assumptions!B17</f>
        <v/>
      </c>
      <c r="C5" t="inlineStr">
        <is>
          <t>MXN million / yr</t>
        </is>
      </c>
      <c r="D5" t="inlineStr">
        <is>
          <t>Assumptions B17</t>
        </is>
      </c>
      <c r="E5" s="3" t="inlineStr"/>
    </row>
    <row r="6">
      <c r="A6" t="inlineStr">
        <is>
          <t>Annualised capital charge</t>
        </is>
      </c>
      <c r="B6" s="9">
        <f>Assumptions!B11</f>
        <v/>
      </c>
      <c r="C6" t="inlineStr">
        <is>
          <t>MXN million / yr</t>
        </is>
      </c>
      <c r="D6" t="inlineStr">
        <is>
          <t>Assumptions B11</t>
        </is>
      </c>
      <c r="E6" s="3" t="inlineStr"/>
    </row>
    <row r="7">
      <c r="A7" t="inlineStr">
        <is>
          <t>Total annual cost</t>
        </is>
      </c>
      <c r="B7" s="9">
        <f>IF(OR(B5="",B6=""),"",B5+B6)</f>
        <v/>
      </c>
      <c r="C7" t="inlineStr">
        <is>
          <t>MXN million / yr</t>
        </is>
      </c>
      <c r="D7" t="inlineStr"/>
      <c r="E7" s="3" t="inlineStr"/>
    </row>
    <row r="8">
      <c r="A8" s="5" t="inlineStr">
        <is>
          <t>BREAKEVEN RIDERSHIP</t>
        </is>
      </c>
      <c r="B8" s="6" t="n"/>
      <c r="C8" s="6" t="n"/>
      <c r="D8" s="6" t="n"/>
      <c r="E8" s="6" t="n"/>
    </row>
    <row r="9">
      <c r="A9" t="inlineStr">
        <is>
          <t>Average revenue per trip</t>
        </is>
      </c>
      <c r="B9" s="9">
        <f>Assumptions!B21</f>
        <v/>
      </c>
      <c r="C9" t="inlineStr">
        <is>
          <t>MXN</t>
        </is>
      </c>
      <c r="D9" t="inlineStr">
        <is>
          <t>Assumptions B21</t>
        </is>
      </c>
      <c r="E9" s="3" t="inlineStr"/>
    </row>
    <row r="10">
      <c r="A10" t="inlineStr">
        <is>
          <t>Breakeven — operating cost only</t>
        </is>
      </c>
      <c r="B10" s="11">
        <f>IF(OR(B5="",B9="",B9=0),"",B5*1000000/B9)</f>
        <v/>
      </c>
      <c r="C10" t="inlineStr">
        <is>
          <t>trips / yr</t>
        </is>
      </c>
      <c r="D10" t="inlineStr"/>
      <c r="E10" s="3" t="inlineStr">
        <is>
          <t>The screening figure: can the line cover the cost of running it?</t>
        </is>
      </c>
    </row>
    <row r="11">
      <c r="A11" t="inlineStr">
        <is>
          <t>Breakeven — operating + capital</t>
        </is>
      </c>
      <c r="B11" s="11">
        <f>IF(OR(B7="",B9="",B9=0),"",B7*1000000/B9)</f>
        <v/>
      </c>
      <c r="C11" t="inlineStr">
        <is>
          <t>trips / yr</t>
        </is>
      </c>
      <c r="D11" t="inlineStr"/>
      <c r="E11" s="3" t="inlineStr">
        <is>
          <t>Shown separately: funding model is unknown at screen stage</t>
        </is>
      </c>
    </row>
    <row r="12">
      <c r="A12" s="5" t="inlineStr">
        <is>
          <t>AGAINST ACTUAL CORRIDOR TRAVEL</t>
        </is>
      </c>
      <c r="B12" s="6" t="n"/>
      <c r="C12" s="6" t="n"/>
      <c r="D12" s="6" t="n"/>
      <c r="E12" s="6" t="n"/>
    </row>
    <row r="13">
      <c r="A13" t="inlineStr">
        <is>
          <t>Corridor travel, all modes</t>
        </is>
      </c>
      <c r="B13" s="11">
        <f>Assumptions!B23</f>
        <v/>
      </c>
      <c r="C13" t="inlineStr">
        <is>
          <t>trips / yr</t>
        </is>
      </c>
      <c r="D13" t="inlineStr">
        <is>
          <t>Assumptions B23</t>
        </is>
      </c>
      <c r="E13" s="3" t="inlineStr"/>
    </row>
    <row r="14">
      <c r="A14" t="inlineStr">
        <is>
          <t>Operating breakeven as share of all corridor travel</t>
        </is>
      </c>
      <c r="B14" s="13">
        <f>IF(OR(B10="",B13="",B13=0),"",B10/B13)</f>
        <v/>
      </c>
      <c r="C14" t="inlineStr">
        <is>
          <t>%</t>
        </is>
      </c>
      <c r="D14" t="inlineStr"/>
      <c r="E14" s="3" t="inlineStr">
        <is>
          <t>Above 100% means SR-2 triggers: unbuildable demand case</t>
        </is>
      </c>
    </row>
    <row r="15">
      <c r="A15" t="inlineStr">
        <is>
          <t>Projected annual ridership</t>
        </is>
      </c>
      <c r="B15" s="11">
        <f>Assumptions!B25</f>
        <v/>
      </c>
      <c r="C15" t="inlineStr">
        <is>
          <t>trips / yr</t>
        </is>
      </c>
      <c r="D15" t="inlineStr">
        <is>
          <t>Assumptions B25</t>
        </is>
      </c>
      <c r="E15" s="3" t="inlineStr"/>
    </row>
    <row r="16">
      <c r="A16" t="inlineStr">
        <is>
          <t>Margin over operating breakeven</t>
        </is>
      </c>
      <c r="B16" s="11">
        <f>IF(OR(B15="",B10=""),"",B15-B10)</f>
        <v/>
      </c>
      <c r="C16" t="inlineStr">
        <is>
          <t>trips / yr</t>
        </is>
      </c>
      <c r="D16" t="inlineStr"/>
      <c r="E16" s="3" t="inlineStr">
        <is>
          <t>Negative means the assumed capture rate does not cover operating cost</t>
        </is>
      </c>
    </row>
    <row r="17">
      <c r="A17" s="5" t="inlineStr">
        <is>
          <t>STOP RULE SR-2</t>
        </is>
      </c>
      <c r="B17" s="6" t="n"/>
      <c r="C17" s="6" t="n"/>
      <c r="D17" s="6" t="n"/>
      <c r="E17" s="6" t="n"/>
    </row>
    <row r="18">
      <c r="A18" t="inlineStr">
        <is>
          <t>Demand floor test</t>
        </is>
      </c>
      <c r="B18" s="14">
        <f>IF(OR(B10="",B13=""),"pending inputs",IF(B10&gt;B13,"SR-2 TRIGGERED — breakeven exceeds all corridor travel at 100% capture","SR-2 not triggered"))</f>
        <v/>
      </c>
      <c r="E18" s="3" t="inlineStr">
        <is>
          <t>Record the result in deliverables/feasibility_screen.md §2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Sensitivity — fare</t>
        </is>
      </c>
    </row>
    <row r="2">
      <c r="A2" s="3" t="inlineStr">
        <is>
          <t>Breakeven is close to linear in fare, so this grid mostly guards against a conclusion resting on one optimistic fare assumption.</t>
        </is>
      </c>
    </row>
    <row r="3">
      <c r="A3" s="3" t="inlineStr">
        <is>
          <t>Read row 8 first: if breakeven exceeds 100% of corridor travel anywhere in the plausible fare range, the demand case is fragile.</t>
        </is>
      </c>
    </row>
    <row r="5">
      <c r="A5" s="4" t="inlineStr">
        <is>
          <t>Fare scenario</t>
        </is>
      </c>
      <c r="B5" s="4" t="inlineStr">
        <is>
          <t>-20%</t>
        </is>
      </c>
      <c r="C5" s="4" t="inlineStr">
        <is>
          <t>-10%</t>
        </is>
      </c>
      <c r="D5" s="4" t="inlineStr">
        <is>
          <t>base</t>
        </is>
      </c>
      <c r="E5" s="4" t="inlineStr">
        <is>
          <t>+10%</t>
        </is>
      </c>
      <c r="F5" s="4" t="inlineStr">
        <is>
          <t>+20%</t>
        </is>
      </c>
    </row>
    <row r="6">
      <c r="A6" t="inlineStr">
        <is>
          <t>Average fare per trip (MXN)</t>
        </is>
      </c>
      <c r="B6" s="9">
        <f>IF(Assumptions!$B$19="","",Assumptions!$B$19*0.8)</f>
        <v/>
      </c>
      <c r="C6" s="9">
        <f>IF(Assumptions!$B$19="","",Assumptions!$B$19*0.9)</f>
        <v/>
      </c>
      <c r="D6" s="9">
        <f>IF(Assumptions!$B$19="","",Assumptions!$B$19*1.0)</f>
        <v/>
      </c>
      <c r="E6" s="9">
        <f>IF(Assumptions!$B$19="","",Assumptions!$B$19*1.1)</f>
        <v/>
      </c>
      <c r="F6" s="9">
        <f>IF(Assumptions!$B$19="","",Assumptions!$B$19*1.2)</f>
        <v/>
      </c>
    </row>
    <row r="7">
      <c r="A7" t="inlineStr">
        <is>
          <t>Revenue per trip incl. non-fare (MXN)</t>
        </is>
      </c>
      <c r="B7" s="9">
        <f>IF(OR(B6="",Assumptions!$B$20=""),"",B6+Assumptions!$B$20)</f>
        <v/>
      </c>
      <c r="C7" s="9">
        <f>IF(OR(C6="",Assumptions!$B$20=""),"",C6+Assumptions!$B$20)</f>
        <v/>
      </c>
      <c r="D7" s="9">
        <f>IF(OR(D6="",Assumptions!$B$20=""),"",D6+Assumptions!$B$20)</f>
        <v/>
      </c>
      <c r="E7" s="9">
        <f>IF(OR(E6="",Assumptions!$B$20=""),"",E6+Assumptions!$B$20)</f>
        <v/>
      </c>
      <c r="F7" s="9">
        <f>IF(OR(F6="",Assumptions!$B$20=""),"",F6+Assumptions!$B$20)</f>
        <v/>
      </c>
    </row>
    <row r="8">
      <c r="A8" t="inlineStr">
        <is>
          <t>Breakeven ridership, operating (trips/yr)</t>
        </is>
      </c>
      <c r="B8" s="11">
        <f>IF(OR(B7="",B7=0,Breakeven!$B$5=""),"",Breakeven!$B$5*1000000/B7)</f>
        <v/>
      </c>
      <c r="C8" s="11">
        <f>IF(OR(C7="",C7=0,Breakeven!$B$5=""),"",Breakeven!$B$5*1000000/C7)</f>
        <v/>
      </c>
      <c r="D8" s="11">
        <f>IF(OR(D7="",D7=0,Breakeven!$B$5=""),"",Breakeven!$B$5*1000000/D7)</f>
        <v/>
      </c>
      <c r="E8" s="11">
        <f>IF(OR(E7="",E7=0,Breakeven!$B$5=""),"",Breakeven!$B$5*1000000/E7)</f>
        <v/>
      </c>
      <c r="F8" s="11">
        <f>IF(OR(F7="",F7=0,Breakeven!$B$5=""),"",Breakeven!$B$5*1000000/F7)</f>
        <v/>
      </c>
    </row>
    <row r="9">
      <c r="A9" t="inlineStr">
        <is>
          <t>As share of all corridor travel</t>
        </is>
      </c>
      <c r="B9" s="13">
        <f>IF(OR(B8="",Assumptions!$B$23="",Assumptions!$B$23=0),"",B8/Assumptions!$B$23)</f>
        <v/>
      </c>
      <c r="C9" s="13">
        <f>IF(OR(C8="",Assumptions!$B$23="",Assumptions!$B$23=0),"",C8/Assumptions!$B$23)</f>
        <v/>
      </c>
      <c r="D9" s="13">
        <f>IF(OR(D8="",Assumptions!$B$23="",Assumptions!$B$23=0),"",D8/Assumptions!$B$23)</f>
        <v/>
      </c>
      <c r="E9" s="13">
        <f>IF(OR(E8="",Assumptions!$B$23="",Assumptions!$B$23=0),"",E8/Assumptions!$B$23)</f>
        <v/>
      </c>
      <c r="F9" s="13">
        <f>IF(OR(F8="",Assumptions!$B$23="",Assumptions!$B$23=0),"",F8/Assumptions!$B$23)</f>
        <v/>
      </c>
    </row>
    <row r="10">
      <c r="A10" t="inlineStr">
        <is>
          <t>Margin vs projected ridership (trips/yr)</t>
        </is>
      </c>
      <c r="B10" s="11">
        <f>IF(OR(B8="",Assumptions!$B$25=""),"",Assumptions!$B$25-B8)</f>
        <v/>
      </c>
      <c r="C10" s="11">
        <f>IF(OR(C8="",Assumptions!$B$25=""),"",Assumptions!$B$25-C8)</f>
        <v/>
      </c>
      <c r="D10" s="11">
        <f>IF(OR(D8="",Assumptions!$B$25=""),"",Assumptions!$B$25-D8)</f>
        <v/>
      </c>
      <c r="E10" s="11">
        <f>IF(OR(E8="",Assumptions!$B$25=""),"",Assumptions!$B$25-E8)</f>
        <v/>
      </c>
      <c r="F10" s="11">
        <f>IF(OR(F8="",Assumptions!$B$25=""),"",Assumptions!$B$25-F8)</f>
        <v/>
      </c>
    </row>
    <row r="12">
      <c r="A12" s="2" t="inlineStr">
        <is>
          <t>TO ADD IN PHASE 2</t>
        </is>
      </c>
    </row>
    <row r="13">
      <c r="A13" s="3" t="inlineStr">
        <is>
          <t>• Capture-rate sensitivity — the dominant uncertainty (risk R-04). Vary Assumptions!B24 across a range whose low end is a rail service nobody switches to.</t>
        </is>
      </c>
    </row>
    <row r="14">
      <c r="A14" s="3" t="inlineStr">
        <is>
          <t>• Capital cost per km sensitivity — analogue transfer error is the second dominant uncertainty (risk R-02), and matters most for the operating+capital breakeven.</t>
        </is>
      </c>
    </row>
    <row r="15">
      <c r="A15" s="3" t="inlineStr">
        <is>
          <t>• Both are deferred until real inputs exist: a sensitivity grid over invented base values reads as analysis while carrying no information.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2026-08-27T03:26:40Z</dcterms:created>
  <dcterms:modified xsi:type="dcterms:W3CDTF">2026-08-27T03:26:40Z</dcterms:modified>
</cp:coreProperties>
</file>